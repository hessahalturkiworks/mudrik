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8800" windowHeight="12315" activeTab="1"/>
  </bookViews>
  <sheets>
    <sheet name="الإدارة العامة للجمعيات " sheetId="1" r:id="rId1"/>
    <sheet name="إحصائية جمعيات تحفيظ القرآن ال" sheetId="2" r:id="rId2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8" i="2" l="1"/>
  <c r="O7" i="2"/>
  <c r="O6" i="2"/>
  <c r="O5" i="2"/>
  <c r="O4" i="2"/>
  <c r="O3" i="2"/>
</calcChain>
</file>

<file path=xl/sharedStrings.xml><?xml version="1.0" encoding="utf-8"?>
<sst xmlns="http://schemas.openxmlformats.org/spreadsheetml/2006/main" count="21" uniqueCount="21">
  <si>
    <t xml:space="preserve">         البيان </t>
  </si>
  <si>
    <t>الرياض</t>
  </si>
  <si>
    <t xml:space="preserve">مكة المكرمة </t>
  </si>
  <si>
    <t xml:space="preserve">المدينة المنورة </t>
  </si>
  <si>
    <t xml:space="preserve">القصيم </t>
  </si>
  <si>
    <t>المنطقة الشرقية</t>
  </si>
  <si>
    <t xml:space="preserve">عسير </t>
  </si>
  <si>
    <t>تبوك</t>
  </si>
  <si>
    <t>حائل</t>
  </si>
  <si>
    <t xml:space="preserve">الحدود الشمالية  </t>
  </si>
  <si>
    <t>جازان</t>
  </si>
  <si>
    <t>نجران</t>
  </si>
  <si>
    <t>الباحة</t>
  </si>
  <si>
    <t>الجوف</t>
  </si>
  <si>
    <t>عدد جمعيات تحفيظ القرآن الكريم</t>
  </si>
  <si>
    <t>عدد الحلقات</t>
  </si>
  <si>
    <t>عدد الطلاب السعوديين</t>
  </si>
  <si>
    <t>عدد الطلاب غير السعوديين</t>
  </si>
  <si>
    <t>عدد المدرسين السعوديين</t>
  </si>
  <si>
    <t>عدد الموجهين السعوديين</t>
  </si>
  <si>
    <t xml:space="preserve">الإجمالي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</si>
</sst>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Arial"/>
      <family val="2"/>
      <scheme val="minor"/>
    </font>
    <font>
      <b/>
      <sz val="11"/>
      <color rgb="FF3F3F3F"/>
      <name val="Arial"/>
      <family val="2"/>
      <charset val="178"/>
      <scheme val="minor"/>
    </font>
    <font>
      <b/>
      <sz val="16"/>
      <color rgb="FF3F3F3F"/>
      <name val="Sakkal Majalla"/>
    </font>
    <font>
      <b/>
      <sz val="16"/>
      <color rgb="FF3F3F3F"/>
      <name val="Arial"/>
      <family val="2"/>
      <scheme val="minor"/>
    </font>
    <font>
      <sz val="16"/>
      <color theme="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  <border>
      <left style="thin">
        <color rgb="FF3F3F3F"/>
      </left>
      <right/>
      <top/>
      <bottom style="thin">
        <color rgb="FF3F3F3F"/>
      </bottom>
      <diagonal/>
    </border>
    <border>
      <left/>
      <right style="thin">
        <color rgb="FF3F3F3F"/>
      </right>
      <top/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8">
    <xf numFmtId="0" fontId="0" fillId="0" borderId="0" xfId="0"/>
    <xf numFmtId="0" fontId="2" fillId="2" borderId="1" xfId="1" applyFont="1" applyAlignment="1">
      <alignment horizontal="center" vertical="center" wrapText="1" readingOrder="2"/>
    </xf>
    <xf numFmtId="0" fontId="3" fillId="3" borderId="1" xfId="1" applyFont="1" applyFill="1" applyAlignment="1">
      <alignment horizontal="center" vertical="center" wrapText="1" readingOrder="2"/>
    </xf>
    <xf numFmtId="0" fontId="3" fillId="3" borderId="1" xfId="1" applyFont="1" applyFill="1" applyAlignment="1">
      <alignment horizontal="center" vertical="center" readingOrder="2"/>
    </xf>
    <xf numFmtId="0" fontId="3" fillId="3" borderId="6" xfId="1" applyFont="1" applyFill="1" applyBorder="1" applyAlignment="1">
      <alignment horizontal="center" vertical="center" wrapText="1" readingOrder="2"/>
    </xf>
    <xf numFmtId="0" fontId="3" fillId="3" borderId="7" xfId="1" applyFont="1" applyFill="1" applyBorder="1" applyAlignment="1">
      <alignment horizontal="center" vertical="center" wrapText="1" readingOrder="2"/>
    </xf>
    <xf numFmtId="0" fontId="3" fillId="6" borderId="1" xfId="1" applyFont="1" applyFill="1" applyAlignment="1">
      <alignment horizontal="center" vertical="center" readingOrder="2"/>
    </xf>
    <xf numFmtId="0" fontId="3" fillId="3" borderId="2" xfId="1" applyFont="1" applyFill="1" applyBorder="1" applyAlignment="1">
      <alignment horizontal="center" vertical="center" readingOrder="2"/>
    </xf>
    <xf numFmtId="0" fontId="3" fillId="3" borderId="3" xfId="1" applyFont="1" applyFill="1" applyBorder="1" applyAlignment="1">
      <alignment horizontal="center" vertical="center" wrapText="1" readingOrder="2"/>
    </xf>
    <xf numFmtId="0" fontId="4" fillId="3" borderId="4" xfId="0" applyFont="1" applyFill="1" applyBorder="1" applyAlignment="1">
      <alignment horizontal="center" vertical="center" readingOrder="2"/>
    </xf>
    <xf numFmtId="0" fontId="3" fillId="3" borderId="6" xfId="1" applyFont="1" applyFill="1" applyBorder="1" applyAlignment="1">
      <alignment horizontal="center" vertical="center" readingOrder="2"/>
    </xf>
    <xf numFmtId="0" fontId="2" fillId="4" borderId="1" xfId="1" applyFont="1" applyFill="1" applyAlignment="1">
      <alignment horizontal="center" vertical="center" wrapText="1" readingOrder="2"/>
    </xf>
    <xf numFmtId="0" fontId="3" fillId="3" borderId="8" xfId="1" applyFont="1" applyFill="1" applyBorder="1" applyAlignment="1">
      <alignment horizontal="center" vertical="center" wrapText="1" readingOrder="2"/>
    </xf>
    <xf numFmtId="0" fontId="3" fillId="3" borderId="5" xfId="1" applyFont="1" applyFill="1" applyBorder="1" applyAlignment="1">
      <alignment horizontal="center" vertical="center" wrapText="1" readingOrder="2"/>
    </xf>
    <xf numFmtId="0" fontId="0" fillId="0" borderId="0" xfId="0" applyAlignment="1">
      <alignment horizontal="center"/>
    </xf>
    <xf numFmtId="0" fontId="2" fillId="5" borderId="4" xfId="0" applyFont="1" applyFill="1" applyBorder="1" applyAlignment="1">
      <alignment horizontal="center" vertical="center" readingOrder="2"/>
    </xf>
    <xf numFmtId="0" fontId="2" fillId="2" borderId="3" xfId="1" applyFont="1" applyBorder="1" applyAlignment="1">
      <alignment horizontal="center" vertical="center" readingOrder="2"/>
    </xf>
    <xf numFmtId="0" fontId="2" fillId="5" borderId="5" xfId="1" applyFont="1" applyFill="1" applyBorder="1" applyAlignment="1">
      <alignment horizontal="center" vertical="center" readingOrder="2"/>
    </xf>
  </cellXfs>
  <cellStyles count="2"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152400</xdr:colOff>
      <xdr:row>3</xdr:row>
      <xdr:rowOff>38100</xdr:rowOff>
    </xdr:from>
    <xdr:to>
      <xdr:col>13</xdr:col>
      <xdr:colOff>600075</xdr:colOff>
      <xdr:row>16</xdr:row>
      <xdr:rowOff>59055</xdr:rowOff>
    </xdr:to>
    <xdr:pic>
      <xdr:nvPicPr>
        <xdr:cNvPr id="8" name="صورة 7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26631725" y="581025"/>
          <a:ext cx="1819275" cy="2373630"/>
        </a:xfrm>
        <a:prstGeom prst="rect">
          <a:avLst/>
        </a:prstGeom>
      </xdr:spPr>
    </xdr:pic>
    <xdr:clientData/>
  </xdr:twoCellAnchor>
  <xdr:twoCellAnchor>
    <xdr:from>
      <xdr:col>0</xdr:col>
      <xdr:colOff>1</xdr:colOff>
      <xdr:row>30</xdr:row>
      <xdr:rowOff>38100</xdr:rowOff>
    </xdr:from>
    <xdr:to>
      <xdr:col>23</xdr:col>
      <xdr:colOff>676276</xdr:colOff>
      <xdr:row>38</xdr:row>
      <xdr:rowOff>0</xdr:rowOff>
    </xdr:to>
    <xdr:sp macro="" textlink="">
      <xdr:nvSpPr>
        <xdr:cNvPr id="9" name="مستطيل 8">
          <a:extLst>
            <a:ext uri="{FF2B5EF4-FFF2-40B4-BE49-F238E27FC236}">
              <a16:creationId xmlns:a16="http://schemas.microsoft.com/office/drawing/2014/main" xmlns="" id="{9D78A9EA-52D2-B0BE-235A-ADC245A02FB8}"/>
            </a:ext>
          </a:extLst>
        </xdr:cNvPr>
        <xdr:cNvSpPr>
          <a:spLocks/>
        </xdr:cNvSpPr>
      </xdr:nvSpPr>
      <xdr:spPr>
        <a:xfrm>
          <a:off x="11219697524" y="5467350"/>
          <a:ext cx="16449675" cy="1409700"/>
        </a:xfrm>
        <a:prstGeom prst="rect">
          <a:avLst/>
        </a:prstGeom>
        <a:solidFill>
          <a:srgbClr val="437B4E"/>
        </a:solidFill>
        <a:ln w="12700" cap="flat" cmpd="sng" algn="ctr">
          <a:noFill/>
          <a:prstDash val="solid"/>
          <a:miter lim="800000"/>
        </a:ln>
        <a:effectLst/>
      </xdr:spPr>
      <xdr:txBody>
        <a:bodyPr wrap="square" rtlCol="1" anchor="ctr"/>
        <a:lstStyle/>
        <a:p>
          <a:endParaRPr lang="ar-SA"/>
        </a:p>
      </xdr:txBody>
    </xdr:sp>
    <xdr:clientData/>
  </xdr:twoCellAnchor>
  <xdr:twoCellAnchor>
    <xdr:from>
      <xdr:col>9</xdr:col>
      <xdr:colOff>348615</xdr:colOff>
      <xdr:row>17</xdr:row>
      <xdr:rowOff>156210</xdr:rowOff>
    </xdr:from>
    <xdr:to>
      <xdr:col>15</xdr:col>
      <xdr:colOff>354965</xdr:colOff>
      <xdr:row>20</xdr:row>
      <xdr:rowOff>57117</xdr:rowOff>
    </xdr:to>
    <xdr:sp macro="" textlink="">
      <xdr:nvSpPr>
        <xdr:cNvPr id="10" name="مربع نص 51">
          <a:extLst>
            <a:ext uri="{FF2B5EF4-FFF2-40B4-BE49-F238E27FC236}">
              <a16:creationId xmlns:a16="http://schemas.microsoft.com/office/drawing/2014/main" xmlns="" id="{B42AFF0E-E2F5-D8CA-D443-346B43C5EA35}"/>
            </a:ext>
          </a:extLst>
        </xdr:cNvPr>
        <xdr:cNvSpPr txBox="1"/>
      </xdr:nvSpPr>
      <xdr:spPr>
        <a:xfrm>
          <a:off x="10976041675" y="3265170"/>
          <a:ext cx="4029710" cy="449547"/>
        </a:xfrm>
        <a:prstGeom prst="rect">
          <a:avLst/>
        </a:prstGeom>
        <a:noFill/>
      </xdr:spPr>
      <xdr:txBody>
        <a:bodyPr wrap="square">
          <a:spAutoFit/>
        </a:bodyPr>
        <a:lstStyle/>
        <a:p>
          <a:pPr algn="ctr" rtl="1">
            <a:lnSpc>
              <a:spcPct val="107000"/>
            </a:lnSpc>
            <a:spcAft>
              <a:spcPts val="0"/>
            </a:spcAft>
          </a:pPr>
          <a:r>
            <a:rPr lang="ar-SA" sz="1800" b="1" kern="1200">
              <a:solidFill>
                <a:sysClr val="windowText" lastClr="000000"/>
              </a:solidFill>
              <a:effectLst>
                <a:outerShdw blurRad="38100" dist="19050" dir="2700000" algn="tl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ea typeface="Calibri" panose="020F0502020204030204" pitchFamily="34" charset="0"/>
              <a:cs typeface="Sakkal Majalla" panose="02000000000000000000" pitchFamily="2" charset="-78"/>
            </a:rPr>
            <a:t>الإدارة العامة للجمعيات والمؤسسات الأهلية</a:t>
          </a:r>
          <a:endParaRPr lang="en-US" sz="1200">
            <a:solidFill>
              <a:sysClr val="windowText" lastClr="000000"/>
            </a:solidFill>
            <a:effectLst/>
            <a:latin typeface="Times New Roman" panose="02020603050405020304" pitchFamily="18" charset="0"/>
            <a:ea typeface="Calibri" panose="020F0502020204030204" pitchFamily="34" charset="0"/>
          </a:endParaRPr>
        </a:p>
      </xdr:txBody>
    </xdr:sp>
    <xdr:clientData/>
  </xdr:twoCellAnchor>
  <xdr:twoCellAnchor editAs="oneCell">
    <xdr:from>
      <xdr:col>19</xdr:col>
      <xdr:colOff>361951</xdr:colOff>
      <xdr:row>32</xdr:row>
      <xdr:rowOff>38100</xdr:rowOff>
    </xdr:from>
    <xdr:to>
      <xdr:col>20</xdr:col>
      <xdr:colOff>514351</xdr:colOff>
      <xdr:row>35</xdr:row>
      <xdr:rowOff>57785</xdr:rowOff>
    </xdr:to>
    <xdr:pic>
      <xdr:nvPicPr>
        <xdr:cNvPr id="11" name="صورة 10">
          <a:extLst>
            <a:ext uri="{FF2B5EF4-FFF2-40B4-BE49-F238E27FC236}">
              <a16:creationId xmlns:a16="http://schemas.microsoft.com/office/drawing/2014/main" xmlns="" id="{B9CB29F7-9708-28CD-1318-0314056A4A66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21916849" y="5829300"/>
          <a:ext cx="838200" cy="5626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38"/>
  <sheetViews>
    <sheetView rightToLeft="1" zoomScale="50" zoomScaleNormal="50" workbookViewId="0">
      <selection activeCell="G54" sqref="G54"/>
    </sheetView>
  </sheetViews>
  <sheetFormatPr defaultRowHeight="14.25" x14ac:dyDescent="0.2"/>
  <sheetData>
    <row r="1" spans="1:24" x14ac:dyDescent="0.2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</row>
    <row r="2" spans="1:24" x14ac:dyDescent="0.2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</row>
    <row r="3" spans="1:24" x14ac:dyDescent="0.2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</row>
    <row r="4" spans="1:24" x14ac:dyDescent="0.2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</row>
    <row r="5" spans="1:24" x14ac:dyDescent="0.2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 spans="1:24" x14ac:dyDescent="0.2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</row>
    <row r="7" spans="1:24" x14ac:dyDescent="0.2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</row>
    <row r="8" spans="1:24" x14ac:dyDescent="0.2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  <row r="9" spans="1:24" x14ac:dyDescent="0.2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</row>
    <row r="10" spans="1:24" x14ac:dyDescent="0.2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  <row r="11" spans="1:24" x14ac:dyDescent="0.2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</row>
    <row r="12" spans="1:24" x14ac:dyDescent="0.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  <row r="13" spans="1:24" x14ac:dyDescent="0.2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</row>
    <row r="14" spans="1:24" x14ac:dyDescent="0.2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  <row r="15" spans="1:24" x14ac:dyDescent="0.2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</row>
    <row r="16" spans="1:24" x14ac:dyDescent="0.2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  <row r="17" spans="1:24" x14ac:dyDescent="0.2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</row>
    <row r="18" spans="1:24" x14ac:dyDescent="0.2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  <row r="19" spans="1:24" x14ac:dyDescent="0.2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</row>
    <row r="20" spans="1:24" x14ac:dyDescent="0.2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  <row r="21" spans="1:24" x14ac:dyDescent="0.2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</row>
    <row r="22" spans="1:24" x14ac:dyDescent="0.2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  <row r="23" spans="1:24" x14ac:dyDescent="0.2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</row>
    <row r="24" spans="1:24" x14ac:dyDescent="0.2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</row>
    <row r="25" spans="1:24" x14ac:dyDescent="0.2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</row>
    <row r="26" spans="1:24" x14ac:dyDescent="0.2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</row>
    <row r="27" spans="1:24" x14ac:dyDescent="0.2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</row>
    <row r="28" spans="1:24" x14ac:dyDescent="0.2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  <row r="29" spans="1:24" x14ac:dyDescent="0.2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</row>
    <row r="30" spans="1:24" x14ac:dyDescent="0.2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  <row r="31" spans="1:24" x14ac:dyDescent="0.2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</row>
    <row r="32" spans="1:24" x14ac:dyDescent="0.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  <row r="33" spans="1:24" x14ac:dyDescent="0.2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</row>
    <row r="34" spans="1:24" x14ac:dyDescent="0.2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</row>
    <row r="35" spans="1:24" x14ac:dyDescent="0.2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</row>
    <row r="36" spans="1:24" x14ac:dyDescent="0.2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</row>
    <row r="37" spans="1:24" x14ac:dyDescent="0.2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</row>
    <row r="38" spans="1:24" x14ac:dyDescent="0.2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1">
    <mergeCell ref="A1:X38"/>
  </mergeCells>
  <pageMargins left="0.7" right="0.7" top="0.75" bottom="0.75" header="0.3" footer="0.3"/>
  <pageSetup paperSize="9" scale="55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8"/>
  <sheetViews>
    <sheetView rightToLeft="1" tabSelected="1" zoomScale="66" zoomScaleNormal="50" workbookViewId="0">
      <selection activeCell="N17" sqref="N17"/>
    </sheetView>
  </sheetViews>
  <sheetFormatPr defaultRowHeight="14.25" x14ac:dyDescent="0.2"/>
  <cols>
    <col min="1" max="1" width="43.625" customWidth="1"/>
    <col min="2" max="2" width="10.375" bestFit="1" customWidth="1"/>
    <col min="3" max="3" width="12.5" customWidth="1"/>
    <col min="4" max="4" width="14.75" customWidth="1"/>
    <col min="5" max="5" width="9.25" bestFit="1" customWidth="1"/>
    <col min="6" max="6" width="15.75" customWidth="1"/>
    <col min="7" max="7" width="9.25" bestFit="1" customWidth="1"/>
    <col min="8" max="8" width="18.875" customWidth="1"/>
    <col min="9" max="9" width="9.25" bestFit="1" customWidth="1"/>
    <col min="10" max="10" width="16.5" customWidth="1"/>
    <col min="11" max="14" width="9.25" bestFit="1" customWidth="1"/>
    <col min="15" max="15" width="14.5" customWidth="1"/>
    <col min="18" max="18" width="11.5" customWidth="1"/>
  </cols>
  <sheetData>
    <row r="1" spans="1:15" ht="22.15" customHeight="1" x14ac:dyDescent="0.2">
      <c r="A1" s="16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7" t="s">
        <v>20</v>
      </c>
    </row>
    <row r="2" spans="1:15" ht="22.15" customHeight="1" x14ac:dyDescent="0.2">
      <c r="A2" s="16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7"/>
    </row>
    <row r="3" spans="1:15" ht="22.15" customHeight="1" x14ac:dyDescent="0.2">
      <c r="A3" s="1" t="s">
        <v>14</v>
      </c>
      <c r="B3" s="3">
        <v>47</v>
      </c>
      <c r="C3" s="2">
        <v>59</v>
      </c>
      <c r="D3" s="4">
        <v>19</v>
      </c>
      <c r="E3" s="3">
        <v>19</v>
      </c>
      <c r="F3" s="3">
        <v>17</v>
      </c>
      <c r="G3" s="3">
        <v>45</v>
      </c>
      <c r="H3" s="4">
        <v>8</v>
      </c>
      <c r="I3" s="3">
        <v>29</v>
      </c>
      <c r="J3" s="5">
        <v>9</v>
      </c>
      <c r="K3" s="3">
        <v>27</v>
      </c>
      <c r="L3" s="12">
        <v>10</v>
      </c>
      <c r="M3" s="3">
        <v>10</v>
      </c>
      <c r="N3" s="4">
        <v>8</v>
      </c>
      <c r="O3" s="6">
        <f t="shared" ref="O3:O8" si="0">SUM(B3:N3)</f>
        <v>307</v>
      </c>
    </row>
    <row r="4" spans="1:15" ht="22.15" customHeight="1" x14ac:dyDescent="0.2">
      <c r="A4" s="11" t="s">
        <v>15</v>
      </c>
      <c r="B4" s="3">
        <v>7240</v>
      </c>
      <c r="C4" s="7">
        <v>13219</v>
      </c>
      <c r="D4" s="2">
        <v>1571</v>
      </c>
      <c r="E4" s="3">
        <v>2172</v>
      </c>
      <c r="F4" s="9">
        <v>3830</v>
      </c>
      <c r="G4" s="3">
        <v>400</v>
      </c>
      <c r="H4" s="2">
        <v>1353</v>
      </c>
      <c r="I4" s="3">
        <v>592</v>
      </c>
      <c r="J4" s="8">
        <v>202</v>
      </c>
      <c r="K4" s="3">
        <v>4053</v>
      </c>
      <c r="L4" s="13">
        <v>1051</v>
      </c>
      <c r="M4" s="3">
        <v>385</v>
      </c>
      <c r="N4" s="2">
        <v>399</v>
      </c>
      <c r="O4" s="6">
        <f t="shared" si="0"/>
        <v>36467</v>
      </c>
    </row>
    <row r="5" spans="1:15" ht="22.15" customHeight="1" x14ac:dyDescent="0.2">
      <c r="A5" s="1" t="s">
        <v>16</v>
      </c>
      <c r="B5" s="3">
        <v>289537</v>
      </c>
      <c r="C5" s="3">
        <v>98266</v>
      </c>
      <c r="D5" s="2">
        <v>22425</v>
      </c>
      <c r="E5" s="3">
        <v>28879</v>
      </c>
      <c r="F5" s="3">
        <v>49956</v>
      </c>
      <c r="G5" s="3">
        <v>305</v>
      </c>
      <c r="H5" s="2">
        <v>17014</v>
      </c>
      <c r="I5" s="3">
        <v>10632</v>
      </c>
      <c r="J5" s="8">
        <v>4194</v>
      </c>
      <c r="K5" s="3">
        <v>40661</v>
      </c>
      <c r="L5" s="13">
        <v>11334</v>
      </c>
      <c r="M5" s="3">
        <v>5035</v>
      </c>
      <c r="N5" s="2">
        <v>5790</v>
      </c>
      <c r="O5" s="6">
        <f t="shared" si="0"/>
        <v>584028</v>
      </c>
    </row>
    <row r="6" spans="1:15" ht="22.15" customHeight="1" x14ac:dyDescent="0.2">
      <c r="A6" s="1" t="s">
        <v>17</v>
      </c>
      <c r="B6" s="3">
        <v>270654</v>
      </c>
      <c r="C6" s="3">
        <v>129784</v>
      </c>
      <c r="D6" s="2">
        <v>12295</v>
      </c>
      <c r="E6" s="3">
        <v>7296</v>
      </c>
      <c r="F6" s="3">
        <v>28450</v>
      </c>
      <c r="G6" s="3">
        <v>90</v>
      </c>
      <c r="H6" s="2">
        <v>5101</v>
      </c>
      <c r="I6" s="3">
        <v>1680</v>
      </c>
      <c r="J6" s="8">
        <v>176</v>
      </c>
      <c r="K6" s="3">
        <v>17399</v>
      </c>
      <c r="L6" s="13">
        <v>8746</v>
      </c>
      <c r="M6" s="3">
        <v>1592</v>
      </c>
      <c r="N6" s="2">
        <v>2820</v>
      </c>
      <c r="O6" s="6">
        <f t="shared" si="0"/>
        <v>486083</v>
      </c>
    </row>
    <row r="7" spans="1:15" ht="22.15" customHeight="1" x14ac:dyDescent="0.2">
      <c r="A7" s="1" t="s">
        <v>18</v>
      </c>
      <c r="B7" s="3">
        <v>7722</v>
      </c>
      <c r="C7" s="10">
        <v>9316</v>
      </c>
      <c r="D7" s="2">
        <v>1575</v>
      </c>
      <c r="E7" s="3">
        <v>1857</v>
      </c>
      <c r="F7" s="3">
        <v>3846</v>
      </c>
      <c r="G7" s="3">
        <v>705</v>
      </c>
      <c r="H7" s="2">
        <v>566</v>
      </c>
      <c r="I7" s="3">
        <v>860</v>
      </c>
      <c r="J7" s="8">
        <v>335</v>
      </c>
      <c r="K7" s="3">
        <v>1056</v>
      </c>
      <c r="L7" s="13">
        <v>796</v>
      </c>
      <c r="M7" s="3">
        <v>285</v>
      </c>
      <c r="N7" s="2">
        <v>280</v>
      </c>
      <c r="O7" s="6">
        <f t="shared" si="0"/>
        <v>29199</v>
      </c>
    </row>
    <row r="8" spans="1:15" ht="22.15" customHeight="1" x14ac:dyDescent="0.2">
      <c r="A8" s="1" t="s">
        <v>19</v>
      </c>
      <c r="B8" s="3">
        <v>372</v>
      </c>
      <c r="C8" s="3">
        <v>557</v>
      </c>
      <c r="D8" s="2">
        <v>153</v>
      </c>
      <c r="E8" s="3">
        <v>238</v>
      </c>
      <c r="F8" s="3">
        <v>1113</v>
      </c>
      <c r="G8" s="3">
        <v>80</v>
      </c>
      <c r="H8" s="2">
        <v>91</v>
      </c>
      <c r="I8" s="3">
        <v>120</v>
      </c>
      <c r="J8" s="8">
        <v>6</v>
      </c>
      <c r="K8" s="3">
        <v>183</v>
      </c>
      <c r="L8" s="13">
        <v>94</v>
      </c>
      <c r="M8" s="3">
        <v>35</v>
      </c>
      <c r="N8" s="2">
        <v>60</v>
      </c>
      <c r="O8" s="6">
        <f t="shared" si="0"/>
        <v>3102</v>
      </c>
    </row>
  </sheetData>
  <mergeCells count="15">
    <mergeCell ref="O1:O2"/>
    <mergeCell ref="G1:G2"/>
    <mergeCell ref="H1:H2"/>
    <mergeCell ref="I1:I2"/>
    <mergeCell ref="J1:J2"/>
    <mergeCell ref="K1:K2"/>
    <mergeCell ref="L1:L2"/>
    <mergeCell ref="A1:A2"/>
    <mergeCell ref="B1:B2"/>
    <mergeCell ref="C1:C2"/>
    <mergeCell ref="D1:D2"/>
    <mergeCell ref="E1:E2"/>
    <mergeCell ref="F1:F2"/>
    <mergeCell ref="M1:M2"/>
    <mergeCell ref="N1:N2"/>
  </mergeCells>
  <pageMargins left="0.7" right="0.7" top="0.75" bottom="0.75" header="0.3" footer="0.3"/>
  <pageSetup paperSize="9" scale="4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الإدارة العامة للجمعيات </vt:lpstr>
      <vt:lpstr>إحصائية جمعيات تحفيظ القرآن ال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2025-11-17T05:29:10Z</dcterms:modified>
</cp:coreProperties>
</file>