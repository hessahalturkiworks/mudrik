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الملخص" sheetId="1" state="visible" r:id="rId3"/>
    <sheet name="الاختبارات" sheetId="2" state="visible" r:id="rId4"/>
  </sheets>
  <definedNames>
    <definedName function="false" hidden="true" localSheetId="1" name="_xlnm._FilterDatabase" vbProcedure="false">الاختبارات!$A$1:$I$62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<sst xmlns="http://schemas.openxmlformats.org/spreadsheetml/2006/main" count="431" uniqueCount="297">
  <si>
    <t xml:space="preserve">ملخص اختبارات مدرك</t>
  </si>
  <si>
    <t xml:space="preserve">المجال</t>
  </si>
  <si>
    <t xml:space="preserve">عدد الاختبارات</t>
  </si>
  <si>
    <t xml:space="preserve">✅ نجح</t>
  </si>
  <si>
    <t xml:space="preserve">❌ فشل</t>
  </si>
  <si>
    <t xml:space="preserve">⚠️ ملاحظة</t>
  </si>
  <si>
    <t xml:space="preserve">☐ لم يُختبر</t>
  </si>
  <si>
    <t xml:space="preserve">نسبة النجاح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</si>
  <si>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FreeSans"/>
        <family val="2"/>
      </rPr>
      <t xml:space="preserve">التشغيل</t>
    </r>
  </si>
  <si>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FreeSans"/>
        <family val="2"/>
      </rPr>
      <t xml:space="preserve">التنظيف</t>
    </r>
  </si>
  <si>
    <r>
      <rPr>
        <sz val="11"/>
        <color theme="1"/>
        <rFont val="Calibri"/>
        <family val="2"/>
        <charset val="1"/>
      </rPr>
      <t xml:space="preserve">3. </t>
    </r>
    <r>
      <rPr>
        <sz val="11"/>
        <color theme="1"/>
        <rFont val="FreeSans"/>
        <family val="2"/>
      </rPr>
      <t xml:space="preserve">السكان</t>
    </r>
  </si>
  <si>
    <r>
      <rPr>
        <sz val="11"/>
        <color theme="1"/>
        <rFont val="Calibri"/>
        <family val="2"/>
        <charset val="1"/>
      </rPr>
      <t xml:space="preserve">4. </t>
    </r>
    <r>
      <rPr>
        <sz val="11"/>
        <color theme="1"/>
        <rFont val="FreeSans"/>
        <family val="2"/>
      </rPr>
      <t xml:space="preserve">الحساب</t>
    </r>
  </si>
  <si>
    <r>
      <rPr>
        <sz val="11"/>
        <color theme="1"/>
        <rFont val="Calibri"/>
        <family val="2"/>
        <charset val="1"/>
      </rPr>
      <t xml:space="preserve">5. </t>
    </r>
    <r>
      <rPr>
        <sz val="11"/>
        <color theme="1"/>
        <rFont val="FreeSans"/>
        <family val="2"/>
      </rPr>
      <t xml:space="preserve">مصفوفة القرار</t>
    </r>
  </si>
  <si>
    <r>
      <rPr>
        <sz val="11"/>
        <color theme="1"/>
        <rFont val="Calibri"/>
        <family val="2"/>
        <charset val="1"/>
      </rPr>
      <t xml:space="preserve">6. </t>
    </r>
    <r>
      <rPr>
        <sz val="11"/>
        <color theme="1"/>
        <rFont val="FreeSans"/>
        <family val="2"/>
      </rPr>
      <t xml:space="preserve">عدسة الطلب</t>
    </r>
  </si>
  <si>
    <r>
      <rPr>
        <sz val="11"/>
        <color theme="1"/>
        <rFont val="Calibri"/>
        <family val="2"/>
        <charset val="1"/>
      </rPr>
      <t xml:space="preserve">7. </t>
    </r>
    <r>
      <rPr>
        <sz val="11"/>
        <color theme="1"/>
        <rFont val="FreeSans"/>
        <family val="2"/>
      </rPr>
      <t xml:space="preserve">فجوة </t>
    </r>
    <r>
      <rPr>
        <sz val="11"/>
        <color theme="1"/>
        <rFont val="Calibri"/>
        <family val="2"/>
        <charset val="1"/>
      </rPr>
      <t xml:space="preserve">2030</t>
    </r>
  </si>
  <si>
    <r>
      <rPr>
        <sz val="11"/>
        <color theme="1"/>
        <rFont val="Calibri"/>
        <family val="2"/>
        <charset val="1"/>
      </rPr>
      <t xml:space="preserve">8. </t>
    </r>
    <r>
      <rPr>
        <sz val="11"/>
        <color theme="1"/>
        <rFont val="FreeSans"/>
        <family val="2"/>
      </rPr>
      <t xml:space="preserve">التقرير</t>
    </r>
  </si>
  <si>
    <r>
      <rPr>
        <sz val="11"/>
        <color theme="1"/>
        <rFont val="Calibri"/>
        <family val="2"/>
        <charset val="1"/>
      </rPr>
      <t xml:space="preserve">9. </t>
    </r>
    <r>
      <rPr>
        <sz val="11"/>
        <color theme="1"/>
        <rFont val="FreeSans"/>
        <family val="2"/>
      </rPr>
      <t xml:space="preserve">الوكيل</t>
    </r>
  </si>
  <si>
    <r>
      <rPr>
        <sz val="11"/>
        <color theme="1"/>
        <rFont val="Calibri"/>
        <family val="2"/>
        <charset val="1"/>
      </rPr>
      <t xml:space="preserve">10. </t>
    </r>
    <r>
      <rPr>
        <sz val="11"/>
        <color theme="1"/>
        <rFont val="FreeSans"/>
        <family val="2"/>
      </rPr>
      <t xml:space="preserve">التوثيق</t>
    </r>
  </si>
  <si>
    <r>
      <rPr>
        <sz val="11"/>
        <color theme="1"/>
        <rFont val="Calibri"/>
        <family val="2"/>
        <charset val="1"/>
      </rPr>
      <t xml:space="preserve">11. </t>
    </r>
    <r>
      <rPr>
        <sz val="11"/>
        <color theme="1"/>
        <rFont val="FreeSans"/>
        <family val="2"/>
      </rPr>
      <t xml:space="preserve">التسليم</t>
    </r>
  </si>
  <si>
    <t xml:space="preserve">الإجمالي</t>
  </si>
  <si>
    <t xml:space="preserve">كيف تستخدمينها:</t>
  </si>
  <si>
    <t xml:space="preserve">1) في ورقة «الاختبارات» نفّذي الخطوات، واكتبي ما ظهر لك في «النتيجة الفعلية»، واختاري الحالة من القائمة.</t>
  </si>
  <si>
    <t xml:space="preserve">2) إذا اختلفت النتيجة عن المتوقع: اختاري «❌ فشل» وصوّري الشاشة وأرسليها لـClaude.</t>
  </si>
  <si>
    <t xml:space="preserve">3) الأرقام المتوقعة أُخذت من آخر تشغيل كامل (22 أكتوبر 2026) ومن الملفات نفسها.</t>
  </si>
  <si>
    <t xml:space="preserve">4) اختبارا «تغيير قرار بشري» و«إرجاع القرار» يجب أن يُنفّذا معاً حتى تعود النتائج الأصلية.</t>
  </si>
  <si>
    <t xml:space="preserve">#</t>
  </si>
  <si>
    <t xml:space="preserve">الاختبار</t>
  </si>
  <si>
    <t xml:space="preserve">الخطوات</t>
  </si>
  <si>
    <t xml:space="preserve">النتيجة المتوقعة</t>
  </si>
  <si>
    <t xml:space="preserve">وين</t>
  </si>
  <si>
    <t xml:space="preserve">النتيجة الفعلية (اكتبيها)</t>
  </si>
  <si>
    <t xml:space="preserve">الحالة</t>
  </si>
  <si>
    <t xml:space="preserve">ملاحظات</t>
  </si>
  <si>
    <t xml:space="preserve">1. التشغيل</t>
  </si>
  <si>
    <t xml:space="preserve">الخطوة الأولى تتوقف للموافقة</t>
  </si>
  <si>
    <t xml:space="preserve">من مجلد mudrik شغّلي: python scripts/run_pipeline.py</t>
  </si>
  <si>
    <t xml:space="preserve">أربع خطوات تنظيف OK، ثم قائمة القرارات، ثم سطر STOPPED for human review</t>
  </si>
  <si>
    <t xml:space="preserve">شاشة cmd</t>
  </si>
  <si>
    <t xml:space="preserve">أربع خطوات OK ثم STOPPED for human review (أُعيد 26 أكتوبر بعد حذف الكفاءة والوقف، وفي Colab)</t>
  </si>
  <si>
    <t xml:space="preserve">الخطوة الثانية تكمل بعد الموافقة</t>
  </si>
  <si>
    <t xml:space="preserve">شغّلي: python scripts/run_pipeline.py --yes</t>
  </si>
  <si>
    <t xml:space="preserve">كل الخطوات OK، وفي النهاية: RESULT cells: 130 | priority support: 12 | adequate: 81 | high coverage: 37</t>
  </si>
  <si>
    <t xml:space="preserve">كل الخطوات OK و RESULT 130 | 12 | 81 | 37</t>
  </si>
  <si>
    <t xml:space="preserve">سجل التشغيل كامل</t>
  </si>
  <si>
    <t xml:space="preserve">افتحي outputs/pipeline_log.csv</t>
  </si>
  <si>
    <t xml:space="preserve">كل الخطوات حالتها ok ولا يوجد FAILED (7 خطوات: 4 تنظيف + 3 تحليل)</t>
  </si>
  <si>
    <t xml:space="preserve">outputs/pipeline_log.csv</t>
  </si>
  <si>
    <t xml:space="preserve">7 خطوات ok في pipeline_log.csv (26 أكتوبر)</t>
  </si>
  <si>
    <t xml:space="preserve">التفاصيل العربية محفوظة</t>
  </si>
  <si>
    <t xml:space="preserve">افتحي outputs/pipeline_details.log في Notepad</t>
  </si>
  <si>
    <t xml:space="preserve">نص عربي سليم غير مقلوب: «4451 ← 4451»، «32,175,224»…</t>
  </si>
  <si>
    <t xml:space="preserve">outputs/pipeline_details.log</t>
  </si>
  <si>
    <t xml:space="preserve">العربي سليم في VS Code، وكل الخطوات ok</t>
  </si>
  <si>
    <t xml:space="preserve">إعادة التشغيل تعطي نفس النتيجة</t>
  </si>
  <si>
    <t xml:space="preserve">شغّلي --yes مرتين، وقارني الرقم الأخير في الشاشة وأرقام report.html</t>
  </si>
  <si>
    <t xml:space="preserve">نفس الأرقام تماماً في المرتين (12 / 81 / 37، 13.45)</t>
  </si>
  <si>
    <t xml:space="preserve">شاشة cmd + report.html</t>
  </si>
  <si>
    <t xml:space="preserve">شُغّل عدة مرات اليوم: نفس 12 / 81 / 37 كل مرة</t>
  </si>
  <si>
    <t xml:space="preserve">التشغيل من الصفر</t>
  </si>
  <si>
    <t xml:space="preserve">انسخي mudrik لمكان آخر، احذفي محتويات data_clean و outputs فقط، ثم شغّلي الأمرين</t>
  </si>
  <si>
    <t xml:space="preserve">تُعاد كل الملفات وتطلع نفس الأرقام (12 / 81 / 37)</t>
  </si>
  <si>
    <t xml:space="preserve">نسخة المجلد</t>
  </si>
  <si>
    <t xml:space="preserve">نسخة نظيفة بلا data_clean ولا outputs (26 أكتوبر): كل الخطوات ok، والجداول مطابقة حرفياً للنسخة السابقة</t>
  </si>
  <si>
    <t xml:space="preserve">جهاز آخر: Google Colab</t>
  </si>
  <si>
    <t xml:space="preserve">افتحي رابط Colab في README ثم Runtime ← Run all</t>
  </si>
  <si>
    <t xml:space="preserve">كل فحوص الخلية «٨. فحص إعادة التشغيل» ✅</t>
  </si>
  <si>
    <t xml:space="preserve">Google Colab</t>
  </si>
  <si>
    <t xml:space="preserve">26 أكتوبر: الفحوص الخمسة ✅ (4,328 / 13.45 / 6.87 / 12-81-37 / الملفات الخام لم تتغير)</t>
  </si>
  <si>
    <t xml:space="preserve">2. التنظيف</t>
  </si>
  <si>
    <t xml:space="preserve">عدد صفوف الجمعيات</t>
  </si>
  <si>
    <t xml:space="preserve">افتحي outputs/pipeline_details.log وابحثي عن Non profit Associations</t>
  </si>
  <si>
    <t xml:space="preserve">السجلات: 4451 ← 4451 (لا حذف)، الخلايا المعدّلة 1021، للمراجعة 37</t>
  </si>
  <si>
    <t xml:space="preserve">pipeline_details.log</t>
  </si>
  <si>
    <t xml:space="preserve">4451 ← 4451، الخلايا المعدّلة 1021، للمراجعة 37</t>
  </si>
  <si>
    <t xml:space="preserve">عدد صفوف المؤسسات</t>
  </si>
  <si>
    <t xml:space="preserve">نفس الملف، ابحثي عن Non profit Foundations</t>
  </si>
  <si>
    <t xml:space="preserve">السجلات: 386 ← 385 (حُذف صف مكرر واحد فقط)، الخلايا المعدّلة 105</t>
  </si>
  <si>
    <t xml:space="preserve">386 ← 385 (صف مكرر واحد)، الخلايا المعدّلة 105</t>
  </si>
  <si>
    <t xml:space="preserve">لا أعمدة جديدة</t>
  </si>
  <si>
    <t xml:space="preserve">افتحي data_clean/Non_profit_Associations_clean.csv (أو ورقة «البيانات المنظفة»)</t>
  </si>
  <si>
    <t xml:space="preserve">7 أعمدة فقط بنفس أسماء الملف الأصلي</t>
  </si>
  <si>
    <t xml:space="preserve">data_clean</t>
  </si>
  <si>
    <t xml:space="preserve">7 أعمدة بنفس أسماء الملف الأصلي (من صف العناوين)</t>
  </si>
  <si>
    <t xml:space="preserve">لا تخمين</t>
  </si>
  <si>
    <t xml:space="preserve">في ورقة «سجل التعديلات» ابحثي عن «غير محدد»</t>
  </si>
  <si>
    <t xml:space="preserve">القيم المجهولة صارت «غير محدد» ومعها السبب، ولا يوجد ملء إحصائي للتصنيف الفرعي</t>
  </si>
  <si>
    <t xml:space="preserve">outputs/cleaning/Non profit Associations_cleaned.xlsx</t>
  </si>
  <si>
    <t xml:space="preserve">القيم المجهولة أو في مستوى خاطئ صارت «غير محدد» مع نوع المشكلة؛ لا ملء إحصائي</t>
  </si>
  <si>
    <t xml:space="preserve">كل تعديل مسجل</t>
  </si>
  <si>
    <t xml:space="preserve">افتحي ورقة «سجل التعديلات» واختاري 3 صفوف عشوائياً</t>
  </si>
  <si>
    <t xml:space="preserve">كل صف فيه: الصف، العمود، القيمة قبل، بعد، السبب</t>
  </si>
  <si>
    <t xml:space="preserve">نفس الملف</t>
  </si>
  <si>
    <t xml:space="preserve">كل صف: رقم الصف الأصلي، الاسم، العمود، قبل، بعد، نوع المشكلة، طريقة المعالجة</t>
  </si>
  <si>
    <t xml:space="preserve">الملف الأصلي لم يتغير</t>
  </si>
  <si>
    <t xml:space="preserve">تأكدي من تاريخ تعديل ملفات data_raw</t>
  </si>
  <si>
    <t xml:space="preserve">تاريخها هو يوم التحميل، وليس اليوم</t>
  </si>
  <si>
    <t xml:space="preserve">data_raw</t>
  </si>
  <si>
    <t xml:space="preserve">تواريخ data_raw بين 5 و11 جمادى الأولى 1448 (أيام التحميل)، ولا ملف بتاريخ اليوم رغم تشغيل الخط عدة مرات</t>
  </si>
  <si>
    <t xml:space="preserve">3. السكان</t>
  </si>
  <si>
    <t xml:space="preserve">مجموع السكان</t>
  </si>
  <si>
    <t xml:space="preserve">افتحي data_clean/population_2022_gastat.csv واجمعي عمود population_2022</t>
  </si>
  <si>
    <t xml:space="preserve">32,175,224 (رقم تعداد 2022)</t>
  </si>
  <si>
    <t xml:space="preserve">مجموع population_2022 = 32,175,224</t>
  </si>
  <si>
    <t xml:space="preserve">السلسلة الزمنية</t>
  </si>
  <si>
    <t xml:space="preserve">افتحي data_clean/population_series_clean.csv</t>
  </si>
  <si>
    <t xml:space="preserve">169 صفاً = 13 منطقة × 13 سنة (2010–2022)</t>
  </si>
  <si>
    <t xml:space="preserve">170 صفاً = 169 (13 منطقة × 13 سنة) + العناوين، وآخرها نجران 2022 = 592,300</t>
  </si>
  <si>
    <t xml:space="preserve">المحافظات</t>
  </si>
  <si>
    <t xml:space="preserve">افتحي outputs/cleaning/governorates_log.csv</t>
  </si>
  <si>
    <t xml:space="preserve">150 محافظة، ومجموع محافظات كل منطقة = سكان المنطقة (فرق صفر)</t>
  </si>
  <si>
    <t xml:space="preserve">outputs/cleaning</t>
  </si>
  <si>
    <t xml:space="preserve">150 محافظة، ومجموعها في Excel = 32,175,224؛ وسجل التشغيل: تطابق مجاميع المناطق ✓</t>
  </si>
  <si>
    <t xml:space="preserve">محافظة بيدك</t>
  </si>
  <si>
    <t xml:space="preserve">في data_clean/population_2022_governorates.csv ابحثي عن «سكاكا»</t>
  </si>
  <si>
    <t xml:space="preserve">236,669 (مطابق لموقع نبض البيانات)</t>
  </si>
  <si>
    <t xml:space="preserve">سكاكا 236,669</t>
  </si>
  <si>
    <t xml:space="preserve">4. الحساب</t>
  </si>
  <si>
    <t xml:space="preserve">المتوسط الوطني بيدك</t>
  </si>
  <si>
    <t xml:space="preserve">احسبي: 4,328 ÷ 32,175,224 × 100,000</t>
  </si>
  <si>
    <t xml:space="preserve">13.45</t>
  </si>
  <si>
    <t xml:space="preserve">آلة حاسبة</t>
  </si>
  <si>
    <t xml:space="preserve">الشرقية بيدك</t>
  </si>
  <si>
    <t xml:space="preserve">في outputs/tables/region_summary.xlsx: 352 ÷ 5,125,254 × 100,000</t>
  </si>
  <si>
    <t xml:space="preserve">6.87، والمؤشر 6.87 ÷ 13.45 = 0.51</t>
  </si>
  <si>
    <t xml:space="preserve">outputs/tables</t>
  </si>
  <si>
    <t xml:space="preserve">6.8679 ≈ 6.87</t>
  </si>
  <si>
    <t xml:space="preserve">الفرق 6.86/6.87 تقريب فقط</t>
  </si>
  <si>
    <t xml:space="preserve">الرياض بيدك</t>
  </si>
  <si>
    <t xml:space="preserve">961 ÷ 8,591,748 × 100,000</t>
  </si>
  <si>
    <t xml:space="preserve">11.19</t>
  </si>
  <si>
    <t xml:space="preserve">11.1852 ≈ 11.19</t>
  </si>
  <si>
    <t xml:space="preserve">الفرق تقريب فقط</t>
  </si>
  <si>
    <t xml:space="preserve">خانة واحدة بيدك</t>
  </si>
  <si>
    <t xml:space="preserve">في rate_per100k_region_group.xlsx: الشرقية × الدعوة والتعليم الديني (46 جمعية)</t>
  </si>
  <si>
    <t xml:space="preserve">لكل 100 ألف 0.90، المتوسط الوطني 2.50، المؤشر 0.36، الناقص ≈ 2.50 × 51.25 − 46 = 82.2</t>
  </si>
  <si>
    <t xml:space="preserve">0.90 / 0.36 / ≈82.1</t>
  </si>
  <si>
    <t xml:space="preserve">الجدول 82.2؛ الفرق لأن الكود يستخدم 2.5024 غير مقرّبة</t>
  </si>
  <si>
    <t xml:space="preserve">المجموع يطابق</t>
  </si>
  <si>
    <t xml:space="preserve">اجمعي عمود «عدد الجمعيات» في rate_per100k_region_group.xlsx</t>
  </si>
  <si>
    <t xml:space="preserve">4,328 (= 4,451 − 2 وطنية − 121 غير مصنفة)</t>
  </si>
  <si>
    <t xml:space="preserve">outputs/tables + analysis_decisions_log.csv</t>
  </si>
  <si>
    <t xml:space="preserve">4,328</t>
  </si>
  <si>
    <t xml:space="preserve">المستبعدون موثقون</t>
  </si>
  <si>
    <t xml:space="preserve">افتحي outputs/analysis_decisions_log.csv</t>
  </si>
  <si>
    <t xml:space="preserve">excluded_national_entities = 2، excluded_unclassified = 121، rows_in_rate = 4328</t>
  </si>
  <si>
    <t xml:space="preserve">outputs</t>
  </si>
  <si>
    <t xml:space="preserve">2 / 121 / 4328 (من 4451)</t>
  </si>
  <si>
    <t xml:space="preserve">من analysis_decisions_log.xlsx</t>
  </si>
  <si>
    <t xml:space="preserve">5. مصفوفة القرار</t>
  </si>
  <si>
    <t xml:space="preserve">أعداد التوصيات</t>
  </si>
  <si>
    <t xml:space="preserve">افتحي decision_matrix.xlsx وفلتري عمود «التوصية»</t>
  </si>
  <si>
    <t xml:space="preserve">أولوية دعم 12 (منها 5 أرقام قليلة)، تغطية مناسبة 81 (11 أرقام قليلة)، تغطية عالية 37</t>
  </si>
  <si>
    <t xml:space="preserve">12 (5 أرقام قليلة) / 81 (11) / 37 (0)</t>
  </si>
  <si>
    <t xml:space="preserve">قاعدة التوصية</t>
  </si>
  <si>
    <t xml:space="preserve">اختاري 3 خانات وقارني «المؤشر» بالتوصية</t>
  </si>
  <si>
    <t xml:space="preserve">أقل من 0.5 = أولوية دعم، 0.5 إلى أقل من 1.5 = مناسبة، 1.5 فأكثر = عالية</t>
  </si>
  <si>
    <t xml:space="preserve">أولوية دعم: أعلى مؤشر 0.49 | مناسبة: 0.5–1.49 | عالية: أقل مؤشر 1.5</t>
  </si>
  <si>
    <t xml:space="preserve">فحصت صفوف أولوية الدعم بنفسي؛ وتحقق Claude من صفوف «تغطية عالية» الـ37 في الملف</t>
  </si>
  <si>
    <t xml:space="preserve">قاعدة «أرقام قليلة»</t>
  </si>
  <si>
    <t xml:space="preserve">اختاري خانة فيها جمعية أو اثنتين</t>
  </si>
  <si>
    <t xml:space="preserve">مستوى الثقة = «أرقام قليلة»</t>
  </si>
  <si>
    <t xml:space="preserve">الصفوف 9–13: 5 خانات «أرقام قليلة» بلا ترتيب أولوية</t>
  </si>
  <si>
    <t xml:space="preserve">تغيير قرار بشري</t>
  </si>
  <si>
    <t xml:space="preserve">في scripts/config.json غيّري low_ratio من 0.5 إلى 0.6 ثم شغّلي --yes</t>
  </si>
  <si>
    <t xml:space="preserve">أولوية دعم تصير 21 بدل 12</t>
  </si>
  <si>
    <t xml:space="preserve">low_ratio 0.6 ← أولوية دعم 21، مناسبة 72، عالية 37</t>
  </si>
  <si>
    <t xml:space="preserve">إرجاع القرار</t>
  </si>
  <si>
    <t xml:space="preserve">رجّعي low_ratio إلى 0.5 وشغّلي --yes</t>
  </si>
  <si>
    <t xml:space="preserve">ترجع 12 / 81 / 37 بالضبط</t>
  </si>
  <si>
    <t xml:space="preserve">low_ratio 0.5 ← 12 / 81 / 37 بالضبط</t>
  </si>
  <si>
    <t xml:space="preserve">6. عدسة الطلب</t>
  </si>
  <si>
    <t xml:space="preserve">ضغط التخصص بيدك</t>
  </si>
  <si>
    <t xml:space="preserve">في demand_pressure.xlsx: التعليم والأبحاث 2.379 ÷ 1.546</t>
  </si>
  <si>
    <t xml:space="preserve">1.54 = ضغط مرتفع</t>
  </si>
  <si>
    <t xml:space="preserve">2.379 ÷ 1.546 = 1.5388 (الحاسبة قصّت إلى 1.53، والتقريب 1.54) = ضغط مرتفع</t>
  </si>
  <si>
    <t xml:space="preserve">العدسة لا تغيّر التوصية</t>
  </si>
  <si>
    <t xml:space="preserve">قارني التوصيات في decision_matrix قبل وبعد (نفس 12 / 81 / 37)</t>
  </si>
  <si>
    <t xml:space="preserve">التوصيات نفسها، فقط عمود «الترتيب بعد عدسة الطلب» جديد</t>
  </si>
  <si>
    <t xml:space="preserve">ما زالت 12 أولوية دعم؛ أُضيفت أعمدة الطلب فقط</t>
  </si>
  <si>
    <t xml:space="preserve">إعادة الترتيب</t>
  </si>
  <si>
    <t xml:space="preserve">في decision_matrix: الشرقية × التعليم والأبحاث</t>
  </si>
  <si>
    <t xml:space="preserve">ترتيب الأولوية 5 ← بعد العدسة 2</t>
  </si>
  <si>
    <t xml:space="preserve">الشرقية × التعليم والأبحاث: 5 ← 2 (ضغط 1.54)</t>
  </si>
  <si>
    <t xml:space="preserve">المصدر</t>
  </si>
  <si>
    <t xml:space="preserve">قارني survey2018_demand_clean.csv بملف Excel المسح (ورقتا المنشآت والمستفيدين)</t>
  </si>
  <si>
    <t xml:space="preserve">نفس النسب (التعليم 1.546% و2.379%)</t>
  </si>
  <si>
    <t xml:space="preserve">data_clean + data_raw</t>
  </si>
  <si>
    <t xml:space="preserve">ملف الهيئة: المنشآت 1.55% (0.015461) والمستفيدين 2.38% (0.023793) = نفس الأرقام</t>
  </si>
  <si>
    <t xml:space="preserve">7. فجوة 2030</t>
  </si>
  <si>
    <t xml:space="preserve">الاختبار الرجعي</t>
  </si>
  <si>
    <t xml:space="preserve">افتحي outputs/tables/forecast_log.csv</t>
  </si>
  <si>
    <t xml:space="preserve">CAGR خطأ 4.39% مقابل خطي 7.75%، والمختار CAGR</t>
  </si>
  <si>
    <t xml:space="preserve">CAGR 4.39 مقابل خطي 7.75، والمختار CAGR (من forecast_log.xlsx)</t>
  </si>
  <si>
    <t xml:space="preserve">أُضيفت نسخة xlsx للملف لأن csv فتح بعمود واحد</t>
  </si>
  <si>
    <t xml:space="preserve">سكان 2030</t>
  </si>
  <si>
    <t xml:space="preserve">39,181,053</t>
  </si>
  <si>
    <t xml:space="preserve">39181053</t>
  </si>
  <si>
    <t xml:space="preserve">الناقص</t>
  </si>
  <si>
    <t xml:space="preserve">نفس الملف + forecast_2030_regions.xlsx</t>
  </si>
  <si>
    <t xml:space="preserve">902 اليوم ← 1,592 في 2030؛ الرياض 527.6 والشرقية 511.9</t>
  </si>
  <si>
    <t xml:space="preserve">902 ← 1592؛ الرياض 298.7 ← 527.6 والشرقية 337.4 ← 511.9</t>
  </si>
  <si>
    <t xml:space="preserve">8. التقرير</t>
  </si>
  <si>
    <t xml:space="preserve">يفتح بدون إنترنت</t>
  </si>
  <si>
    <t xml:space="preserve">افصلي الإنترنت وافتحي outputs/report.html</t>
  </si>
  <si>
    <t xml:space="preserve">يفتح كاملاً مع الرسوم</t>
  </si>
  <si>
    <t xml:space="preserve">outputs/report.html</t>
  </si>
  <si>
    <t xml:space="preserve">فُصل الإنترنت وفتح التقرير كاملاً مع الرسوم</t>
  </si>
  <si>
    <t xml:space="preserve">الأرقام الرئيسية</t>
  </si>
  <si>
    <t xml:space="preserve">شوفي المربعات أعلى التقرير</t>
  </si>
  <si>
    <t xml:space="preserve">4,328 | 13.45 | 12 (7 بأرقام كافية)</t>
  </si>
  <si>
    <t xml:space="preserve">report.html</t>
  </si>
  <si>
    <t xml:space="preserve">4,328 | 13.45 | 12 (7 بأرقام كافية) (تحقق 27 أكتوبر بعد حذف قسم الكفاءة)</t>
  </si>
  <si>
    <t xml:space="preserve">التفاعل</t>
  </si>
  <si>
    <t xml:space="preserve">مرّري الماوس على صف منطقة وخانة في المصفوفة</t>
  </si>
  <si>
    <t xml:space="preserve">يظهر مربع تفاصيل بالأرقام</t>
  </si>
  <si>
    <t xml:space="preserve">يظهر مربع التفاصيل بالأرقام</t>
  </si>
  <si>
    <t xml:space="preserve">فلتر المصفوفة</t>
  </si>
  <si>
    <t xml:space="preserve">اضغطي زر «أولوية دعم»</t>
  </si>
  <si>
    <t xml:space="preserve">تبقى 12 خانة واضحة والباقي باهت</t>
  </si>
  <si>
    <t xml:space="preserve">المحاكي: خط الأساس</t>
  </si>
  <si>
    <t xml:space="preserve">انزلي لقسم المحاكي قبل أي إضافة</t>
  </si>
  <si>
    <t xml:space="preserve">«أولوية دعم بأرقام كافية» = 7، والمجموع الناقص 902</t>
  </si>
  <si>
    <t xml:space="preserve">قبل: 7 بأرقام كافية، و902 ناقص</t>
  </si>
  <si>
    <t xml:space="preserve">المحاكي: إضافة</t>
  </si>
  <si>
    <t xml:space="preserve">الشرقية + الدعوة والتعليم الديني + 82 ثم «أضف للسيناريو»</t>
  </si>
  <si>
    <t xml:space="preserve">خانتها تتحول من «أولوية دعم»، والعدد 7 ← 6</t>
  </si>
  <si>
    <t xml:space="preserve">+82 (بالأرقام العربية ٨٢ أيضاً): الخانة صارت تغطية مناسبة، 7 ← 6، الكل 12 ← 11</t>
  </si>
  <si>
    <t xml:space="preserve">المحاكي: توزيع تلقائي</t>
  </si>
  <si>
    <t xml:space="preserve">إعادة ضبط، ثم وزّعي 60 تلقائياً (بدون ترجيح الطلب)</t>
  </si>
  <si>
    <t xml:space="preserve">«أولوية دعم بأرقام كافية» = 0</t>
  </si>
  <si>
    <t xml:space="preserve">60 جمعية: بأرقام كافية 7 ← 0، الكل 12 ← 5، الناقص 902 ← 882</t>
  </si>
  <si>
    <t xml:space="preserve">نسخة PDF</t>
  </si>
  <si>
    <t xml:space="preserve">افتحي outputs/report.pdf</t>
  </si>
  <si>
    <t xml:space="preserve">كل الأقسام ظاهرة بدون قص (المحاكي غير موجود لأنه تفاعلي)</t>
  </si>
  <si>
    <t xml:space="preserve">outputs/report.pdf</t>
  </si>
  <si>
    <t xml:space="preserve">كل الأقسام ظاهرة بدون قص، والمحاكي غير موجود</t>
  </si>
  <si>
    <t xml:space="preserve">9. الوكيل</t>
  </si>
  <si>
    <t xml:space="preserve">التوقف بدون موافقة</t>
  </si>
  <si>
    <t xml:space="preserve">شغّلي run_pipeline.py بدون --yes</t>
  </si>
  <si>
    <t xml:space="preserve">لا يُحسب أي تحليل، ويتوقف عند القرارات</t>
  </si>
  <si>
    <t xml:space="preserve">توقف عند القرارات بدون أي تحليل</t>
  </si>
  <si>
    <t xml:space="preserve">نفس اختبار 1-1</t>
  </si>
  <si>
    <t xml:space="preserve">عميل بأقل ملفات</t>
  </si>
  <si>
    <t xml:space="preserve">في نسخة: اتركي في data_raw ملف الجمعيات وملف السكان فقط، ثم الأمرين</t>
  </si>
  <si>
    <t xml:space="preserve">يكمل، والأقسام الناقصة في التقرير «غير متوفر لهذه البيانات»</t>
  </si>
  <si>
    <t xml:space="preserve">تقرير اختبار بملفين فقط (جمعيات + سكان): اكتمل، والأقسام 4–7 «غير متوفر لهذه البيانات» مع اسم الملف الناقص</t>
  </si>
  <si>
    <t xml:space="preserve">تحقق عبر تقرير الاختبار في agent_tests بدل نسخ المجلد</t>
  </si>
  <si>
    <t xml:space="preserve">سجل اختبارات الوكيل</t>
  </si>
  <si>
    <t xml:space="preserve">افتحي agent_tests/AGENT_TEST_LOG.md</t>
  </si>
  <si>
    <t xml:space="preserve">الاختبارات + القرارات التي وافقتِ عليها بتاريخها، ومنها قرار حذف أمثلة المساجد</t>
  </si>
  <si>
    <t xml:space="preserve">agent_tests</t>
  </si>
  <si>
    <t xml:space="preserve">الاختبارات وجدول القرارات بتاريخها وساعتها، وقرار حذف المساجد (25 أكتوبر)</t>
  </si>
  <si>
    <t xml:space="preserve">الجمعيات الرياضية</t>
  </si>
  <si>
    <t xml:space="preserve">افتحي agent_tests/sport/out/report.html</t>
  </si>
  <si>
    <t xml:space="preserve">الشرقية الأقل 0.12 لكل 100 ألف</t>
  </si>
  <si>
    <t xml:space="preserve">agent_tests/sport</t>
  </si>
  <si>
    <t xml:space="preserve">الشرقية 0.12 الأقل، والمتوسط الوطني 0.34</t>
  </si>
  <si>
    <t xml:space="preserve">محافظات الجوف</t>
  </si>
  <si>
    <t xml:space="preserve">افتحي agent_tests/jouf_governorates/out/report.html</t>
  </si>
  <si>
    <t xml:space="preserve">طبرجل 6.38 الأقل، متوسط الجوف 8.39، و12 كياناً مستبعداً مسجلاً</t>
  </si>
  <si>
    <t xml:space="preserve">agent_tests/jouf_governorates</t>
  </si>
  <si>
    <t xml:space="preserve">طبرجل 6.38 الأقل ثم القريات 6.67، متوسط الجوف 8.39، 50 جمعية على 4 محافظات</t>
  </si>
  <si>
    <t xml:space="preserve">الوكيل في محادثة جديدة</t>
  </si>
  <si>
    <t xml:space="preserve">ارفعي zip مجلد mudrik + ملف جديد لـClaude وقولي: «اتبع SKILL.md وحلل هذا الملف»</t>
  </si>
  <si>
    <t xml:space="preserve">يفحص ويعرض المشاكل، ويسألك قبل أي ربط أو استبعاد، ولا يخمّن</t>
  </si>
  <si>
    <t xml:space="preserve">محادثة Claude جديدة</t>
  </si>
  <si>
    <t xml:space="preserve">ملف ذوي الإعاقة 2025 بلا سياق: سألني قبل الحساب، اكتشف القص عند 30,000 وعمر 125 دون تعديل، جمعيات الإعاقة لكل 100 ألف ذي إعاقة (جازان 6.71 الأقل)</t>
  </si>
  <si>
    <t xml:space="preserve">عدّل نسخته من الكود دون إعلان ← أُضيف منع ذلك في SKILL.md (اختبار 7 في AGENT_TEST_LOG)</t>
  </si>
  <si>
    <t xml:space="preserve">الوكيل يرفض الملف غير الصالح</t>
  </si>
  <si>
    <t xml:space="preserve">جربي معه ملف التعاونيات 1419هـ أو ملفاً بمنطقة واحدة</t>
  </si>
  <si>
    <t xml:space="preserve">يتوقف ويشرح السبب (قديم / منطقة واحدة / مجمّع) بدل إعطاء نتيجة</t>
  </si>
  <si>
    <t xml:space="preserve">ملف التحفيظ 2024 (مقلوب ومجمّع وفيه الإجمالي): لم يحسب مباشرة؛ سأل 4 أسئلة واكتشف بيانات عسير والرياض غير المتسقة؛ نسخة محوّلة خارج scripts، وتقريران منفصلان؛ لم يعدّل الكود</t>
  </si>
  <si>
    <t xml:space="preserve">بدل الرفض: توقف وسأل قبل الحساب (اختبار 8). وصف خللاً في build_report وترك إصلاحه لموافقتي</t>
  </si>
  <si>
    <t xml:space="preserve">10. التوثيق</t>
  </si>
  <si>
    <t xml:space="preserve">README</t>
  </si>
  <si>
    <t xml:space="preserve">افتحي README.md</t>
  </si>
  <si>
    <t xml:space="preserve">أرقام «أبرز النتائج» تطابق التقرير، وكل ملف خام له مصدر</t>
  </si>
  <si>
    <t xml:space="preserve">mudrik</t>
  </si>
  <si>
    <t xml:space="preserve">كل أرقام «أبرز النتائج» تطابق التقرير (4,328 / 13.45 / 6.87 / 12-7 / 82 / 1.54 / 902←1,592 / 47.5%)</t>
  </si>
  <si>
    <t xml:space="preserve">التوصية كانت تذكر 3 تخصصات للشرقية من 4؛ أُضيفت الثقافة والترفيه</t>
  </si>
  <si>
    <t xml:space="preserve">سجل الذكاء الاصطناعي</t>
  </si>
  <si>
    <t xml:space="preserve">افتحي ai_usage_log.md</t>
  </si>
  <si>
    <t xml:space="preserve">40 خطوة، ومواضع رفضك وتصحيحك موثقة، وبدون ذكر انسحاب الزميلة</t>
  </si>
  <si>
    <t xml:space="preserve">40 خطوة (حتى 27 أكتوبر)، والرفض والتصحيح موثق، ولا ذكر للزميلة</t>
  </si>
  <si>
    <t xml:space="preserve">هيكل المهارة</t>
  </si>
  <si>
    <t xml:space="preserve">تأكدي من وجود SKILL.md و prompts (3 ملفات) و templates/impact_report.md و scripts</t>
  </si>
  <si>
    <t xml:space="preserve">كلها موجودة</t>
  </si>
  <si>
    <t xml:space="preserve">SKILL.md + prompts (3) + templates/impact_report.md + scripts: كلها موجودة</t>
  </si>
  <si>
    <t xml:space="preserve">11. التسليم</t>
  </si>
  <si>
    <t xml:space="preserve">نظافة المجلد</t>
  </si>
  <si>
    <t xml:space="preserve">تأكدي من عدم وجود __pycache__ أو ملفات مؤقتة أو نسخ قديمة</t>
  </si>
  <si>
    <t xml:space="preserve">لا يوجد</t>
  </si>
  <si>
    <t xml:space="preserve">حُذف __pycache__؛ لا ملفات مؤقتة؛ أُبقي mudrik_cleaning_colab.ipynb (كود التنظيف الأصلي)، وكل السكربتات مطابقة للنسخة المختبرة</t>
  </si>
  <si>
    <t xml:space="preserve">تقارير التنظيف المكررة</t>
  </si>
  <si>
    <t xml:space="preserve">في outputs/cleaning: نسختان Non profit… و Non_profit_…</t>
  </si>
  <si>
    <t xml:space="preserve">احذفي نسخ Non_profit_… القديمة (بشرطة)</t>
  </si>
  <si>
    <t xml:space="preserve">حُذفت نسخ Non_profit_… الأربع القديمة، وبقيت الجديدة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</si>
</sst>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%"/>
    <numFmt numFmtId="166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5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theme="1"/>
      <name val="FreeSans"/>
      <family val="2"/>
    </font>
    <font>
      <b val="true"/>
      <sz val="11"/>
      <name val="FreeSans"/>
      <family val="2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sz val="10.5"/>
      <name val="Arial"/>
      <family val="0"/>
      <charset val="1"/>
    </font>
    <font>
      <b val="true"/>
      <sz val="10.5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5F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0D7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10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1F4E5F"/>
          <bgColor rgb="FF000000"/>
        </patternFill>
      </fill>
    </dxf>
    <dxf>
      <fill>
        <patternFill patternType="solid">
          <fgColor rgb="FFE6F4E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>
          <bgColor rgb="FFE6F4EA"/>
        </patternFill>
      </fill>
    </dxf>
    <dxf>
      <fill>
        <patternFill>
          <bgColor rgb="FFFCE4E4"/>
        </patternFill>
      </fill>
    </dxf>
    <dxf>
      <fill>
        <patternFill>
          <bgColor rgb="FFFFF4D6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4D6"/>
      <rgbColor rgb="FFE6F4EA"/>
      <rgbColor rgb="FF660066"/>
      <rgbColor rgb="FFFF8080"/>
      <rgbColor rgb="FF0066CC"/>
      <rgbColor rgb="FFD0D7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E4E4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4E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1"/>
  <sheetViews>
    <sheetView showFormulas="false" showGridLines="true" showRowColHeaders="true" showZeros="true" rightToLeft="tru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7" min="2" style="0" width="14"/>
  </cols>
  <sheetData>
    <row r="1" customFormat="false" ht="19.7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</row>
    <row r="4" customFormat="false" ht="15" hidden="false" customHeight="false" outlineLevel="0" collapsed="false">
      <c r="A4" s="0" t="s">
        <v>8</v>
      </c>
      <c r="B4" s="0" t="n">
        <f aca="false">COUNTIF(الاختبارات!$B$2:$B$56,A4)</f>
        <v>7</v>
      </c>
      <c r="C4" s="0" t="n">
        <f aca="false">COUNTIFS(الاختبارات!$B$2:$B$56,A4,الاختبارات!$H$2:$H$56,"✅ نجح")</f>
        <v>7</v>
      </c>
      <c r="D4" s="0" t="n">
        <f aca="false">COUNTIFS(الاختبارات!$B$2:$B$56,A4,الاختبارات!$H$2:$H$56,"❌ فشل")</f>
        <v>0</v>
      </c>
      <c r="E4" s="0" t="n">
        <f aca="false">COUNTIFS(الاختبارات!$B$2:$B$56,A4,الاختبارات!$H$2:$H$56,"⚠️ ملاحظة")</f>
        <v>0</v>
      </c>
      <c r="F4" s="0" t="n">
        <f aca="false">COUNTIFS(الاختبارات!$B$2:$B$56,A4,الاختبارات!$H$2:$H$56,"☐ لم يُختبر")</f>
        <v>0</v>
      </c>
      <c r="G4" s="3" t="n">
        <f aca="false">IF(B4=0,0,C4/B4)</f>
        <v>1</v>
      </c>
    </row>
    <row r="5" customFormat="false" ht="15" hidden="false" customHeight="false" outlineLevel="0" collapsed="false">
      <c r="A5" s="0" t="s">
        <v>9</v>
      </c>
      <c r="B5" s="0" t="n">
        <f aca="false">COUNTIF(الاختبارات!$B$2:$B$56,A5)</f>
        <v>6</v>
      </c>
      <c r="C5" s="0" t="n">
        <f aca="false">COUNTIFS(الاختبارات!$B$2:$B$56,A5,الاختبارات!$H$2:$H$56,"✅ نجح")</f>
        <v>6</v>
      </c>
      <c r="D5" s="0" t="n">
        <f aca="false">COUNTIFS(الاختبارات!$B$2:$B$56,A5,الاختبارات!$H$2:$H$56,"❌ فشل")</f>
        <v>0</v>
      </c>
      <c r="E5" s="0" t="n">
        <f aca="false">COUNTIFS(الاختبارات!$B$2:$B$56,A5,الاختبارات!$H$2:$H$56,"⚠️ ملاحظة")</f>
        <v>0</v>
      </c>
      <c r="F5" s="0" t="n">
        <f aca="false">COUNTIFS(الاختبارات!$B$2:$B$56,A5,الاختبارات!$H$2:$H$56,"☐ لم يُختبر")</f>
        <v>0</v>
      </c>
      <c r="G5" s="3" t="n">
        <f aca="false">IF(B5=0,0,C5/B5)</f>
        <v>1</v>
      </c>
    </row>
    <row r="6" customFormat="false" ht="15" hidden="false" customHeight="false" outlineLevel="0" collapsed="false">
      <c r="A6" s="0" t="s">
        <v>10</v>
      </c>
      <c r="B6" s="0" t="n">
        <f aca="false">COUNTIF(الاختبارات!$B$2:$B$56,A6)</f>
        <v>4</v>
      </c>
      <c r="C6" s="0" t="n">
        <f aca="false">COUNTIFS(الاختبارات!$B$2:$B$56,A6,الاختبارات!$H$2:$H$56,"✅ نجح")</f>
        <v>4</v>
      </c>
      <c r="D6" s="0" t="n">
        <f aca="false">COUNTIFS(الاختبارات!$B$2:$B$56,A6,الاختبارات!$H$2:$H$56,"❌ فشل")</f>
        <v>0</v>
      </c>
      <c r="E6" s="0" t="n">
        <f aca="false">COUNTIFS(الاختبارات!$B$2:$B$56,A6,الاختبارات!$H$2:$H$56,"⚠️ ملاحظة")</f>
        <v>0</v>
      </c>
      <c r="F6" s="0" t="n">
        <f aca="false">COUNTIFS(الاختبارات!$B$2:$B$56,A6,الاختبارات!$H$2:$H$56,"☐ لم يُختبر")</f>
        <v>0</v>
      </c>
      <c r="G6" s="3" t="n">
        <f aca="false">IF(B6=0,0,C6/B6)</f>
        <v>1</v>
      </c>
    </row>
    <row r="7" customFormat="false" ht="15" hidden="false" customHeight="false" outlineLevel="0" collapsed="false">
      <c r="A7" s="0" t="s">
        <v>11</v>
      </c>
      <c r="B7" s="0" t="n">
        <f aca="false">COUNTIF(الاختبارات!$B$2:$B$56,A7)</f>
        <v>6</v>
      </c>
      <c r="C7" s="0" t="n">
        <f aca="false">COUNTIFS(الاختبارات!$B$2:$B$56,A7,الاختبارات!$H$2:$H$56,"✅ نجح")</f>
        <v>6</v>
      </c>
      <c r="D7" s="0" t="n">
        <f aca="false">COUNTIFS(الاختبارات!$B$2:$B$56,A7,الاختبارات!$H$2:$H$56,"❌ فشل")</f>
        <v>0</v>
      </c>
      <c r="E7" s="0" t="n">
        <f aca="false">COUNTIFS(الاختبارات!$B$2:$B$56,A7,الاختبارات!$H$2:$H$56,"⚠️ ملاحظة")</f>
        <v>0</v>
      </c>
      <c r="F7" s="0" t="n">
        <f aca="false">COUNTIFS(الاختبارات!$B$2:$B$56,A7,الاختبارات!$H$2:$H$56,"☐ لم يُختبر")</f>
        <v>0</v>
      </c>
      <c r="G7" s="3" t="n">
        <f aca="false">IF(B7=0,0,C7/B7)</f>
        <v>1</v>
      </c>
    </row>
    <row r="8" customFormat="false" ht="15" hidden="false" customHeight="false" outlineLevel="0" collapsed="false">
      <c r="A8" s="0" t="s">
        <v>12</v>
      </c>
      <c r="B8" s="0" t="n">
        <f aca="false">COUNTIF(الاختبارات!$B$2:$B$56,A8)</f>
        <v>5</v>
      </c>
      <c r="C8" s="0" t="n">
        <f aca="false">COUNTIFS(الاختبارات!$B$2:$B$56,A8,الاختبارات!$H$2:$H$56,"✅ نجح")</f>
        <v>5</v>
      </c>
      <c r="D8" s="0" t="n">
        <f aca="false">COUNTIFS(الاختبارات!$B$2:$B$56,A8,الاختبارات!$H$2:$H$56,"❌ فشل")</f>
        <v>0</v>
      </c>
      <c r="E8" s="0" t="n">
        <f aca="false">COUNTIFS(الاختبارات!$B$2:$B$56,A8,الاختبارات!$H$2:$H$56,"⚠️ ملاحظة")</f>
        <v>0</v>
      </c>
      <c r="F8" s="0" t="n">
        <f aca="false">COUNTIFS(الاختبارات!$B$2:$B$56,A8,الاختبارات!$H$2:$H$56,"☐ لم يُختبر")</f>
        <v>0</v>
      </c>
      <c r="G8" s="3" t="n">
        <f aca="false">IF(B8=0,0,C8/B8)</f>
        <v>1</v>
      </c>
    </row>
    <row r="9" customFormat="false" ht="15" hidden="false" customHeight="false" outlineLevel="0" collapsed="false">
      <c r="A9" s="0" t="s">
        <v>13</v>
      </c>
      <c r="B9" s="0" t="n">
        <f aca="false">COUNTIF(الاختبارات!$B$2:$B$56,A9)</f>
        <v>4</v>
      </c>
      <c r="C9" s="0" t="n">
        <f aca="false">COUNTIFS(الاختبارات!$B$2:$B$56,A9,الاختبارات!$H$2:$H$56,"✅ نجح")</f>
        <v>4</v>
      </c>
      <c r="D9" s="0" t="n">
        <f aca="false">COUNTIFS(الاختبارات!$B$2:$B$56,A9,الاختبارات!$H$2:$H$56,"❌ فشل")</f>
        <v>0</v>
      </c>
      <c r="E9" s="0" t="n">
        <f aca="false">COUNTIFS(الاختبارات!$B$2:$B$56,A9,الاختبارات!$H$2:$H$56,"⚠️ ملاحظة")</f>
        <v>0</v>
      </c>
      <c r="F9" s="0" t="n">
        <f aca="false">COUNTIFS(الاختبارات!$B$2:$B$56,A9,الاختبارات!$H$2:$H$56,"☐ لم يُختبر")</f>
        <v>0</v>
      </c>
      <c r="G9" s="3" t="n">
        <f aca="false">IF(B9=0,0,C9/B9)</f>
        <v>1</v>
      </c>
    </row>
    <row r="10" customFormat="false" ht="15" hidden="false" customHeight="false" outlineLevel="0" collapsed="false">
      <c r="A10" s="0" t="s">
        <v>14</v>
      </c>
      <c r="B10" s="0" t="n">
        <f aca="false">COUNTIF(الاختبارات!$B$2:$B$56,A10)</f>
        <v>3</v>
      </c>
      <c r="C10" s="0" t="n">
        <f aca="false">COUNTIFS(الاختبارات!$B$2:$B$56,A10,الاختبارات!$H$2:$H$56,"✅ نجح")</f>
        <v>3</v>
      </c>
      <c r="D10" s="0" t="n">
        <f aca="false">COUNTIFS(الاختبارات!$B$2:$B$56,A10,الاختبارات!$H$2:$H$56,"❌ فشل")</f>
        <v>0</v>
      </c>
      <c r="E10" s="0" t="n">
        <f aca="false">COUNTIFS(الاختبارات!$B$2:$B$56,A10,الاختبارات!$H$2:$H$56,"⚠️ ملاحظة")</f>
        <v>0</v>
      </c>
      <c r="F10" s="0" t="n">
        <f aca="false">COUNTIFS(الاختبارات!$B$2:$B$56,A10,الاختبارات!$H$2:$H$56,"☐ لم يُختبر")</f>
        <v>0</v>
      </c>
      <c r="G10" s="3" t="n">
        <f aca="false">IF(B10=0,0,C10/B10)</f>
        <v>1</v>
      </c>
    </row>
    <row r="11" customFormat="false" ht="15" hidden="false" customHeight="false" outlineLevel="0" collapsed="false">
      <c r="A11" s="0" t="s">
        <v>15</v>
      </c>
      <c r="B11" s="0" t="n">
        <f aca="false">COUNTIF(الاختبارات!$B$2:$B$56,A11)</f>
        <v>8</v>
      </c>
      <c r="C11" s="0" t="n">
        <f aca="false">COUNTIFS(الاختبارات!$B$2:$B$56,A11,الاختبارات!$H$2:$H$56,"✅ نجح")</f>
        <v>8</v>
      </c>
      <c r="D11" s="0" t="n">
        <f aca="false">COUNTIFS(الاختبارات!$B$2:$B$56,A11,الاختبارات!$H$2:$H$56,"❌ فشل")</f>
        <v>0</v>
      </c>
      <c r="E11" s="0" t="n">
        <f aca="false">COUNTIFS(الاختبارات!$B$2:$B$56,A11,الاختبارات!$H$2:$H$56,"⚠️ ملاحظة")</f>
        <v>0</v>
      </c>
      <c r="F11" s="0" t="n">
        <f aca="false">COUNTIFS(الاختبارات!$B$2:$B$56,A11,الاختبارات!$H$2:$H$56,"☐ لم يُختبر")</f>
        <v>0</v>
      </c>
      <c r="G11" s="3" t="n">
        <f aca="false">IF(B11=0,0,C11/B11)</f>
        <v>1</v>
      </c>
    </row>
    <row r="12" customFormat="false" ht="15" hidden="false" customHeight="false" outlineLevel="0" collapsed="false">
      <c r="A12" s="0" t="s">
        <v>16</v>
      </c>
      <c r="B12" s="0" t="n">
        <f aca="false">COUNTIF(الاختبارات!$B$2:$B$56,A12)</f>
        <v>7</v>
      </c>
      <c r="C12" s="0" t="n">
        <f aca="false">COUNTIFS(الاختبارات!$B$2:$B$56,A12,الاختبارات!$H$2:$H$56,"✅ نجح")</f>
        <v>7</v>
      </c>
      <c r="D12" s="0" t="n">
        <f aca="false">COUNTIFS(الاختبارات!$B$2:$B$56,A12,الاختبارات!$H$2:$H$56,"❌ فشل")</f>
        <v>0</v>
      </c>
      <c r="E12" s="0" t="n">
        <f aca="false">COUNTIFS(الاختبارات!$B$2:$B$56,A12,الاختبارات!$H$2:$H$56,"⚠️ ملاحظة")</f>
        <v>0</v>
      </c>
      <c r="F12" s="0" t="n">
        <f aca="false">COUNTIFS(الاختبارات!$B$2:$B$56,A12,الاختبارات!$H$2:$H$56,"☐ لم يُختبر")</f>
        <v>0</v>
      </c>
      <c r="G12" s="3" t="n">
        <f aca="false">IF(B12=0,0,C12/B12)</f>
        <v>1</v>
      </c>
    </row>
    <row r="13" customFormat="false" ht="15" hidden="false" customHeight="false" outlineLevel="0" collapsed="false">
      <c r="A13" s="0" t="s">
        <v>17</v>
      </c>
      <c r="B13" s="0" t="n">
        <f aca="false">COUNTIF(الاختبارات!$B$2:$B$56,A13)</f>
        <v>3</v>
      </c>
      <c r="C13" s="0" t="n">
        <f aca="false">COUNTIFS(الاختبارات!$B$2:$B$56,A13,الاختبارات!$H$2:$H$56,"✅ نجح")</f>
        <v>3</v>
      </c>
      <c r="D13" s="0" t="n">
        <f aca="false">COUNTIFS(الاختبارات!$B$2:$B$56,A13,الاختبارات!$H$2:$H$56,"❌ فشل")</f>
        <v>0</v>
      </c>
      <c r="E13" s="0" t="n">
        <f aca="false">COUNTIFS(الاختبارات!$B$2:$B$56,A13,الاختبارات!$H$2:$H$56,"⚠️ ملاحظة")</f>
        <v>0</v>
      </c>
      <c r="F13" s="0" t="n">
        <f aca="false">COUNTIFS(الاختبارات!$B$2:$B$56,A13,الاختبارات!$H$2:$H$56,"☐ لم يُختبر")</f>
        <v>0</v>
      </c>
      <c r="G13" s="3" t="n">
        <f aca="false">IF(B13=0,0,C13/B13)</f>
        <v>1</v>
      </c>
    </row>
    <row r="14" customFormat="false" ht="15" hidden="false" customHeight="false" outlineLevel="0" collapsed="false">
      <c r="A14" s="0" t="s">
        <v>18</v>
      </c>
      <c r="B14" s="0" t="n">
        <f aca="false">COUNTIF(الاختبارات!$B$2:$B$56,A14)</f>
        <v>2</v>
      </c>
      <c r="C14" s="0" t="n">
        <f aca="false">COUNTIFS(الاختبارات!$B$2:$B$56,A14,الاختبارات!$H$2:$H$56,"✅ نجح")</f>
        <v>2</v>
      </c>
      <c r="D14" s="0" t="n">
        <f aca="false">COUNTIFS(الاختبارات!$B$2:$B$56,A14,الاختبارات!$H$2:$H$56,"❌ فشل")</f>
        <v>0</v>
      </c>
      <c r="E14" s="0" t="n">
        <f aca="false">COUNTIFS(الاختبارات!$B$2:$B$56,A14,الاختبارات!$H$2:$H$56,"⚠️ ملاحظة")</f>
        <v>0</v>
      </c>
      <c r="F14" s="0" t="n">
        <f aca="false">COUNTIFS(الاختبارات!$B$2:$B$56,A14,الاختبارات!$H$2:$H$56,"☐ لم يُختبر")</f>
        <v>0</v>
      </c>
      <c r="G14" s="3" t="n">
        <f aca="false">IF(B14=0,0,C14/B14)</f>
        <v>1</v>
      </c>
    </row>
    <row r="15" customFormat="false" ht="15" hidden="false" customHeight="false" outlineLevel="0" collapsed="false">
      <c r="A15" s="4" t="s">
        <v>19</v>
      </c>
      <c r="B15" s="4" t="n">
        <f aca="false">SUM(B4:B14)</f>
        <v>55</v>
      </c>
      <c r="C15" s="4" t="n">
        <f aca="false">SUM(C4:C14)</f>
        <v>55</v>
      </c>
      <c r="D15" s="4" t="n">
        <f aca="false">SUM(D4:D14)</f>
        <v>0</v>
      </c>
      <c r="E15" s="4" t="n">
        <f aca="false">SUM(E4:E14)</f>
        <v>0</v>
      </c>
      <c r="F15" s="4" t="n">
        <f aca="false">SUM(F4:F14)</f>
        <v>0</v>
      </c>
      <c r="G15" s="3" t="n">
        <f aca="false">IF(B15=0,0,C15/B15)</f>
        <v>1</v>
      </c>
    </row>
    <row r="17" customFormat="false" ht="15" hidden="false" customHeight="false" outlineLevel="0" collapsed="false">
      <c r="A17" s="5" t="s">
        <v>20</v>
      </c>
    </row>
    <row r="18" customFormat="false" ht="15" hidden="false" customHeight="false" outlineLevel="0" collapsed="false">
      <c r="A18" s="6" t="s">
        <v>21</v>
      </c>
    </row>
    <row r="19" customFormat="false" ht="15" hidden="false" customHeight="false" outlineLevel="0" collapsed="false">
      <c r="A19" s="6" t="s">
        <v>22</v>
      </c>
    </row>
    <row r="20" customFormat="false" ht="15" hidden="false" customHeight="false" outlineLevel="0" collapsed="false">
      <c r="A20" s="6" t="s">
        <v>23</v>
      </c>
    </row>
    <row r="21" customFormat="false" ht="15" hidden="false" customHeight="false" outlineLevel="0" collapsed="false">
      <c r="A21" s="6" t="s">
        <v>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6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6"/>
    <col collapsed="false" customWidth="true" hidden="false" outlineLevel="0" max="3" min="3" style="0" width="26"/>
    <col collapsed="false" customWidth="true" hidden="false" outlineLevel="0" max="4" min="4" style="0" width="52"/>
    <col collapsed="false" customWidth="true" hidden="false" outlineLevel="0" max="5" min="5" style="0" width="48"/>
    <col collapsed="false" customWidth="true" hidden="false" outlineLevel="0" max="7" min="6" style="0" width="26"/>
    <col collapsed="false" customWidth="true" hidden="false" outlineLevel="0" max="8" min="8" style="0" width="14"/>
    <col collapsed="false" customWidth="true" hidden="false" outlineLevel="0" max="9" min="9" style="0" width="26"/>
  </cols>
  <sheetData>
    <row r="1" customFormat="false" ht="27.75" hidden="false" customHeight="true" outlineLevel="0" collapsed="false">
      <c r="A1" s="7" t="s">
        <v>25</v>
      </c>
      <c r="B1" s="7" t="s">
        <v>1</v>
      </c>
      <c r="C1" s="7" t="s">
        <v>26</v>
      </c>
      <c r="D1" s="7" t="s">
        <v>27</v>
      </c>
      <c r="E1" s="7" t="s">
        <v>28</v>
      </c>
      <c r="F1" s="7" t="s">
        <v>29</v>
      </c>
      <c r="G1" s="7" t="s">
        <v>30</v>
      </c>
      <c r="H1" s="7" t="s">
        <v>31</v>
      </c>
      <c r="I1" s="7" t="s">
        <v>32</v>
      </c>
    </row>
    <row r="2" customFormat="false" ht="49.25" hidden="false" customHeight="false" outlineLevel="0" collapsed="false">
      <c r="A2" s="8" t="n">
        <f aca="false">COUNTIF($B$2:B2,B2)</f>
        <v>1</v>
      </c>
      <c r="B2" s="9" t="s">
        <v>33</v>
      </c>
      <c r="C2" s="10" t="s">
        <v>34</v>
      </c>
      <c r="D2" s="9" t="s">
        <v>35</v>
      </c>
      <c r="E2" s="9" t="s">
        <v>36</v>
      </c>
      <c r="F2" s="9" t="s">
        <v>37</v>
      </c>
      <c r="G2" s="9" t="s">
        <v>38</v>
      </c>
      <c r="H2" s="11" t="s">
        <v>3</v>
      </c>
      <c r="I2" s="9"/>
    </row>
    <row r="3" customFormat="false" ht="25.35" hidden="false" customHeight="false" outlineLevel="0" collapsed="false">
      <c r="A3" s="8" t="n">
        <f aca="false">COUNTIF($B$2:B3,B3)</f>
        <v>2</v>
      </c>
      <c r="B3" s="9" t="s">
        <v>33</v>
      </c>
      <c r="C3" s="10" t="s">
        <v>39</v>
      </c>
      <c r="D3" s="9" t="s">
        <v>40</v>
      </c>
      <c r="E3" s="9" t="s">
        <v>41</v>
      </c>
      <c r="F3" s="9" t="s">
        <v>37</v>
      </c>
      <c r="G3" s="9" t="s">
        <v>42</v>
      </c>
      <c r="H3" s="11" t="s">
        <v>3</v>
      </c>
      <c r="I3" s="9"/>
    </row>
    <row r="4" customFormat="false" ht="25.35" hidden="false" customHeight="false" outlineLevel="0" collapsed="false">
      <c r="A4" s="8" t="n">
        <f aca="false">COUNTIF($B$2:B4,B4)</f>
        <v>3</v>
      </c>
      <c r="B4" s="9" t="s">
        <v>33</v>
      </c>
      <c r="C4" s="10" t="s">
        <v>43</v>
      </c>
      <c r="D4" s="9" t="s">
        <v>44</v>
      </c>
      <c r="E4" s="9" t="s">
        <v>45</v>
      </c>
      <c r="F4" s="9" t="s">
        <v>46</v>
      </c>
      <c r="G4" s="9" t="s">
        <v>47</v>
      </c>
      <c r="H4" s="11" t="s">
        <v>3</v>
      </c>
      <c r="I4" s="9"/>
    </row>
    <row r="5" customFormat="false" ht="25.35" hidden="false" customHeight="false" outlineLevel="0" collapsed="false">
      <c r="A5" s="8" t="n">
        <f aca="false">COUNTIF($B$2:B5,B5)</f>
        <v>4</v>
      </c>
      <c r="B5" s="9" t="s">
        <v>33</v>
      </c>
      <c r="C5" s="10" t="s">
        <v>48</v>
      </c>
      <c r="D5" s="9" t="s">
        <v>49</v>
      </c>
      <c r="E5" s="9" t="s">
        <v>50</v>
      </c>
      <c r="F5" s="9" t="s">
        <v>51</v>
      </c>
      <c r="G5" s="9" t="s">
        <v>52</v>
      </c>
      <c r="H5" s="11" t="s">
        <v>3</v>
      </c>
      <c r="I5" s="9"/>
    </row>
    <row r="6" customFormat="false" ht="25.35" hidden="false" customHeight="false" outlineLevel="0" collapsed="false">
      <c r="A6" s="8" t="n">
        <f aca="false">COUNTIF($B$2:B6,B6)</f>
        <v>5</v>
      </c>
      <c r="B6" s="9" t="s">
        <v>33</v>
      </c>
      <c r="C6" s="10" t="s">
        <v>53</v>
      </c>
      <c r="D6" s="9" t="s">
        <v>54</v>
      </c>
      <c r="E6" s="9" t="s">
        <v>55</v>
      </c>
      <c r="F6" s="9" t="s">
        <v>56</v>
      </c>
      <c r="G6" s="9" t="s">
        <v>57</v>
      </c>
      <c r="H6" s="11" t="s">
        <v>3</v>
      </c>
      <c r="I6" s="9"/>
    </row>
    <row r="7" customFormat="false" ht="49.25" hidden="false" customHeight="false" outlineLevel="0" collapsed="false">
      <c r="A7" s="8" t="n">
        <f aca="false">COUNTIF($B$2:B7,B7)</f>
        <v>6</v>
      </c>
      <c r="B7" s="9" t="s">
        <v>33</v>
      </c>
      <c r="C7" s="10" t="s">
        <v>58</v>
      </c>
      <c r="D7" s="9" t="s">
        <v>59</v>
      </c>
      <c r="E7" s="9" t="s">
        <v>60</v>
      </c>
      <c r="F7" s="9" t="s">
        <v>61</v>
      </c>
      <c r="G7" s="9" t="s">
        <v>62</v>
      </c>
      <c r="H7" s="11" t="s">
        <v>3</v>
      </c>
      <c r="I7" s="9"/>
    </row>
    <row r="8" customFormat="false" ht="37.3" hidden="false" customHeight="false" outlineLevel="0" collapsed="false">
      <c r="A8" s="8" t="n">
        <f aca="false">COUNTIF($B$2:B8,B8)</f>
        <v>7</v>
      </c>
      <c r="B8" s="9" t="s">
        <v>33</v>
      </c>
      <c r="C8" s="10" t="s">
        <v>63</v>
      </c>
      <c r="D8" s="9" t="s">
        <v>64</v>
      </c>
      <c r="E8" s="9" t="s">
        <v>65</v>
      </c>
      <c r="F8" s="9" t="s">
        <v>66</v>
      </c>
      <c r="G8" s="9" t="s">
        <v>67</v>
      </c>
      <c r="H8" s="11" t="s">
        <v>3</v>
      </c>
      <c r="I8" s="9"/>
    </row>
    <row r="9" customFormat="false" ht="25.35" hidden="false" customHeight="false" outlineLevel="0" collapsed="false">
      <c r="A9" s="8" t="n">
        <f aca="false">COUNTIF($B$2:B9,B9)</f>
        <v>1</v>
      </c>
      <c r="B9" s="9" t="s">
        <v>68</v>
      </c>
      <c r="C9" s="10" t="s">
        <v>69</v>
      </c>
      <c r="D9" s="9" t="s">
        <v>70</v>
      </c>
      <c r="E9" s="9" t="s">
        <v>71</v>
      </c>
      <c r="F9" s="9" t="s">
        <v>72</v>
      </c>
      <c r="G9" s="9" t="s">
        <v>73</v>
      </c>
      <c r="H9" s="11" t="s">
        <v>3</v>
      </c>
      <c r="I9" s="9"/>
    </row>
    <row r="10" customFormat="false" ht="25.35" hidden="false" customHeight="false" outlineLevel="0" collapsed="false">
      <c r="A10" s="8" t="n">
        <f aca="false">COUNTIF($B$2:B10,B10)</f>
        <v>2</v>
      </c>
      <c r="B10" s="9" t="s">
        <v>68</v>
      </c>
      <c r="C10" s="10" t="s">
        <v>74</v>
      </c>
      <c r="D10" s="9" t="s">
        <v>75</v>
      </c>
      <c r="E10" s="9" t="s">
        <v>76</v>
      </c>
      <c r="F10" s="9" t="s">
        <v>72</v>
      </c>
      <c r="G10" s="9" t="s">
        <v>77</v>
      </c>
      <c r="H10" s="11" t="s">
        <v>3</v>
      </c>
      <c r="I10" s="9"/>
    </row>
    <row r="11" customFormat="false" ht="25.35" hidden="false" customHeight="false" outlineLevel="0" collapsed="false">
      <c r="A11" s="8" t="n">
        <f aca="false">COUNTIF($B$2:B11,B11)</f>
        <v>3</v>
      </c>
      <c r="B11" s="9" t="s">
        <v>68</v>
      </c>
      <c r="C11" s="10" t="s">
        <v>78</v>
      </c>
      <c r="D11" s="9" t="s">
        <v>79</v>
      </c>
      <c r="E11" s="9" t="s">
        <v>80</v>
      </c>
      <c r="F11" s="9" t="s">
        <v>81</v>
      </c>
      <c r="G11" s="9" t="s">
        <v>82</v>
      </c>
      <c r="H11" s="11" t="s">
        <v>3</v>
      </c>
      <c r="I11" s="9"/>
    </row>
    <row r="12" customFormat="false" ht="37.3" hidden="false" customHeight="false" outlineLevel="0" collapsed="false">
      <c r="A12" s="8" t="n">
        <f aca="false">COUNTIF($B$2:B12,B12)</f>
        <v>4</v>
      </c>
      <c r="B12" s="9" t="s">
        <v>68</v>
      </c>
      <c r="C12" s="10" t="s">
        <v>83</v>
      </c>
      <c r="D12" s="9" t="s">
        <v>84</v>
      </c>
      <c r="E12" s="9" t="s">
        <v>85</v>
      </c>
      <c r="F12" s="9" t="s">
        <v>86</v>
      </c>
      <c r="G12" s="9" t="s">
        <v>87</v>
      </c>
      <c r="H12" s="11" t="s">
        <v>3</v>
      </c>
      <c r="I12" s="9"/>
    </row>
    <row r="13" customFormat="false" ht="37.3" hidden="false" customHeight="false" outlineLevel="0" collapsed="false">
      <c r="A13" s="8" t="n">
        <f aca="false">COUNTIF($B$2:B13,B13)</f>
        <v>5</v>
      </c>
      <c r="B13" s="9" t="s">
        <v>68</v>
      </c>
      <c r="C13" s="10" t="s">
        <v>88</v>
      </c>
      <c r="D13" s="9" t="s">
        <v>89</v>
      </c>
      <c r="E13" s="9" t="s">
        <v>90</v>
      </c>
      <c r="F13" s="9" t="s">
        <v>91</v>
      </c>
      <c r="G13" s="9" t="s">
        <v>92</v>
      </c>
      <c r="H13" s="11" t="s">
        <v>3</v>
      </c>
      <c r="I13" s="9"/>
    </row>
    <row r="14" customFormat="false" ht="49.25" hidden="false" customHeight="false" outlineLevel="0" collapsed="false">
      <c r="A14" s="8" t="n">
        <f aca="false">COUNTIF($B$2:B14,B14)</f>
        <v>6</v>
      </c>
      <c r="B14" s="9" t="s">
        <v>68</v>
      </c>
      <c r="C14" s="10" t="s">
        <v>93</v>
      </c>
      <c r="D14" s="9" t="s">
        <v>94</v>
      </c>
      <c r="E14" s="9" t="s">
        <v>95</v>
      </c>
      <c r="F14" s="9" t="s">
        <v>96</v>
      </c>
      <c r="G14" s="9" t="s">
        <v>97</v>
      </c>
      <c r="H14" s="11" t="s">
        <v>3</v>
      </c>
      <c r="I14" s="9"/>
    </row>
    <row r="15" customFormat="false" ht="25.35" hidden="false" customHeight="false" outlineLevel="0" collapsed="false">
      <c r="A15" s="8" t="n">
        <f aca="false">COUNTIF($B$2:B15,B15)</f>
        <v>1</v>
      </c>
      <c r="B15" s="9" t="s">
        <v>98</v>
      </c>
      <c r="C15" s="10" t="s">
        <v>99</v>
      </c>
      <c r="D15" s="9" t="s">
        <v>100</v>
      </c>
      <c r="E15" s="9" t="s">
        <v>101</v>
      </c>
      <c r="F15" s="9" t="s">
        <v>81</v>
      </c>
      <c r="G15" s="9" t="s">
        <v>102</v>
      </c>
      <c r="H15" s="11" t="s">
        <v>3</v>
      </c>
      <c r="I15" s="9"/>
    </row>
    <row r="16" customFormat="false" ht="37.3" hidden="false" customHeight="false" outlineLevel="0" collapsed="false">
      <c r="A16" s="8" t="n">
        <f aca="false">COUNTIF($B$2:B16,B16)</f>
        <v>2</v>
      </c>
      <c r="B16" s="9" t="s">
        <v>98</v>
      </c>
      <c r="C16" s="10" t="s">
        <v>103</v>
      </c>
      <c r="D16" s="9" t="s">
        <v>104</v>
      </c>
      <c r="E16" s="9" t="s">
        <v>105</v>
      </c>
      <c r="F16" s="9" t="s">
        <v>81</v>
      </c>
      <c r="G16" s="9" t="s">
        <v>106</v>
      </c>
      <c r="H16" s="11" t="s">
        <v>3</v>
      </c>
      <c r="I16" s="9"/>
    </row>
    <row r="17" customFormat="false" ht="37.3" hidden="false" customHeight="false" outlineLevel="0" collapsed="false">
      <c r="A17" s="8" t="n">
        <f aca="false">COUNTIF($B$2:B17,B17)</f>
        <v>3</v>
      </c>
      <c r="B17" s="9" t="s">
        <v>98</v>
      </c>
      <c r="C17" s="10" t="s">
        <v>107</v>
      </c>
      <c r="D17" s="9" t="s">
        <v>108</v>
      </c>
      <c r="E17" s="9" t="s">
        <v>109</v>
      </c>
      <c r="F17" s="9" t="s">
        <v>110</v>
      </c>
      <c r="G17" s="9" t="s">
        <v>111</v>
      </c>
      <c r="H17" s="11" t="s">
        <v>3</v>
      </c>
      <c r="I17" s="9"/>
    </row>
    <row r="18" customFormat="false" ht="25.35" hidden="false" customHeight="false" outlineLevel="0" collapsed="false">
      <c r="A18" s="8" t="n">
        <f aca="false">COUNTIF($B$2:B18,B18)</f>
        <v>4</v>
      </c>
      <c r="B18" s="9" t="s">
        <v>98</v>
      </c>
      <c r="C18" s="10" t="s">
        <v>112</v>
      </c>
      <c r="D18" s="9" t="s">
        <v>113</v>
      </c>
      <c r="E18" s="9" t="s">
        <v>114</v>
      </c>
      <c r="F18" s="9" t="s">
        <v>81</v>
      </c>
      <c r="G18" s="9" t="s">
        <v>115</v>
      </c>
      <c r="H18" s="11" t="s">
        <v>3</v>
      </c>
      <c r="I18" s="9"/>
    </row>
    <row r="19" customFormat="false" ht="15" hidden="false" customHeight="false" outlineLevel="0" collapsed="false">
      <c r="A19" s="8" t="n">
        <f aca="false">COUNTIF($B$2:B19,B19)</f>
        <v>1</v>
      </c>
      <c r="B19" s="9" t="s">
        <v>116</v>
      </c>
      <c r="C19" s="10" t="s">
        <v>117</v>
      </c>
      <c r="D19" s="9" t="s">
        <v>118</v>
      </c>
      <c r="E19" s="9" t="s">
        <v>119</v>
      </c>
      <c r="F19" s="9" t="s">
        <v>120</v>
      </c>
      <c r="G19" s="9" t="s">
        <v>119</v>
      </c>
      <c r="H19" s="11" t="s">
        <v>3</v>
      </c>
      <c r="I19" s="9"/>
    </row>
    <row r="20" customFormat="false" ht="25.35" hidden="false" customHeight="false" outlineLevel="0" collapsed="false">
      <c r="A20" s="8" t="n">
        <f aca="false">COUNTIF($B$2:B20,B20)</f>
        <v>2</v>
      </c>
      <c r="B20" s="9" t="s">
        <v>116</v>
      </c>
      <c r="C20" s="10" t="s">
        <v>121</v>
      </c>
      <c r="D20" s="9" t="s">
        <v>122</v>
      </c>
      <c r="E20" s="9" t="s">
        <v>123</v>
      </c>
      <c r="F20" s="9" t="s">
        <v>124</v>
      </c>
      <c r="G20" s="9" t="s">
        <v>125</v>
      </c>
      <c r="H20" s="11" t="s">
        <v>3</v>
      </c>
      <c r="I20" s="9" t="s">
        <v>126</v>
      </c>
    </row>
    <row r="21" customFormat="false" ht="15" hidden="false" customHeight="false" outlineLevel="0" collapsed="false">
      <c r="A21" s="8" t="n">
        <f aca="false">COUNTIF($B$2:B21,B21)</f>
        <v>3</v>
      </c>
      <c r="B21" s="9" t="s">
        <v>116</v>
      </c>
      <c r="C21" s="10" t="s">
        <v>127</v>
      </c>
      <c r="D21" s="9" t="s">
        <v>128</v>
      </c>
      <c r="E21" s="9" t="s">
        <v>129</v>
      </c>
      <c r="F21" s="9" t="s">
        <v>124</v>
      </c>
      <c r="G21" s="9" t="s">
        <v>130</v>
      </c>
      <c r="H21" s="11" t="s">
        <v>3</v>
      </c>
      <c r="I21" s="9" t="s">
        <v>131</v>
      </c>
    </row>
    <row r="22" customFormat="false" ht="25.35" hidden="false" customHeight="false" outlineLevel="0" collapsed="false">
      <c r="A22" s="8" t="n">
        <f aca="false">COUNTIF($B$2:B22,B22)</f>
        <v>4</v>
      </c>
      <c r="B22" s="9" t="s">
        <v>116</v>
      </c>
      <c r="C22" s="10" t="s">
        <v>132</v>
      </c>
      <c r="D22" s="9" t="s">
        <v>133</v>
      </c>
      <c r="E22" s="9" t="s">
        <v>134</v>
      </c>
      <c r="F22" s="9" t="s">
        <v>124</v>
      </c>
      <c r="G22" s="9" t="s">
        <v>135</v>
      </c>
      <c r="H22" s="11" t="s">
        <v>3</v>
      </c>
      <c r="I22" s="9" t="s">
        <v>136</v>
      </c>
    </row>
    <row r="23" customFormat="false" ht="25.35" hidden="false" customHeight="false" outlineLevel="0" collapsed="false">
      <c r="A23" s="8" t="n">
        <f aca="false">COUNTIF($B$2:B23,B23)</f>
        <v>5</v>
      </c>
      <c r="B23" s="9" t="s">
        <v>116</v>
      </c>
      <c r="C23" s="10" t="s">
        <v>137</v>
      </c>
      <c r="D23" s="9" t="s">
        <v>138</v>
      </c>
      <c r="E23" s="9" t="s">
        <v>139</v>
      </c>
      <c r="F23" s="9" t="s">
        <v>140</v>
      </c>
      <c r="G23" s="9" t="s">
        <v>141</v>
      </c>
      <c r="H23" s="11" t="s">
        <v>3</v>
      </c>
      <c r="I23" s="9"/>
    </row>
    <row r="24" customFormat="false" ht="25.35" hidden="false" customHeight="false" outlineLevel="0" collapsed="false">
      <c r="A24" s="8" t="n">
        <f aca="false">COUNTIF($B$2:B24,B24)</f>
        <v>6</v>
      </c>
      <c r="B24" s="9" t="s">
        <v>116</v>
      </c>
      <c r="C24" s="10" t="s">
        <v>142</v>
      </c>
      <c r="D24" s="9" t="s">
        <v>143</v>
      </c>
      <c r="E24" s="9" t="s">
        <v>144</v>
      </c>
      <c r="F24" s="9" t="s">
        <v>145</v>
      </c>
      <c r="G24" s="9" t="s">
        <v>146</v>
      </c>
      <c r="H24" s="11" t="s">
        <v>3</v>
      </c>
      <c r="I24" s="9" t="s">
        <v>147</v>
      </c>
    </row>
    <row r="25" customFormat="false" ht="25.35" hidden="false" customHeight="false" outlineLevel="0" collapsed="false">
      <c r="A25" s="8" t="n">
        <f aca="false">COUNTIF($B$2:B25,B25)</f>
        <v>1</v>
      </c>
      <c r="B25" s="9" t="s">
        <v>148</v>
      </c>
      <c r="C25" s="10" t="s">
        <v>149</v>
      </c>
      <c r="D25" s="9" t="s">
        <v>150</v>
      </c>
      <c r="E25" s="9" t="s">
        <v>151</v>
      </c>
      <c r="F25" s="9" t="s">
        <v>124</v>
      </c>
      <c r="G25" s="9" t="s">
        <v>152</v>
      </c>
      <c r="H25" s="11" t="s">
        <v>3</v>
      </c>
      <c r="I25" s="9" t="s">
        <v>147</v>
      </c>
    </row>
    <row r="26" customFormat="false" ht="37.3" hidden="false" customHeight="false" outlineLevel="0" collapsed="false">
      <c r="A26" s="8" t="n">
        <f aca="false">COUNTIF($B$2:B26,B26)</f>
        <v>2</v>
      </c>
      <c r="B26" s="9" t="s">
        <v>148</v>
      </c>
      <c r="C26" s="10" t="s">
        <v>153</v>
      </c>
      <c r="D26" s="9" t="s">
        <v>154</v>
      </c>
      <c r="E26" s="9" t="s">
        <v>155</v>
      </c>
      <c r="F26" s="9" t="s">
        <v>124</v>
      </c>
      <c r="G26" s="9" t="s">
        <v>156</v>
      </c>
      <c r="H26" s="11" t="s">
        <v>3</v>
      </c>
      <c r="I26" s="9" t="s">
        <v>157</v>
      </c>
    </row>
    <row r="27" customFormat="false" ht="25.35" hidden="false" customHeight="false" outlineLevel="0" collapsed="false">
      <c r="A27" s="8" t="n">
        <f aca="false">COUNTIF($B$2:B27,B27)</f>
        <v>3</v>
      </c>
      <c r="B27" s="9" t="s">
        <v>148</v>
      </c>
      <c r="C27" s="10" t="s">
        <v>158</v>
      </c>
      <c r="D27" s="9" t="s">
        <v>159</v>
      </c>
      <c r="E27" s="9" t="s">
        <v>160</v>
      </c>
      <c r="F27" s="9" t="s">
        <v>124</v>
      </c>
      <c r="G27" s="9" t="s">
        <v>161</v>
      </c>
      <c r="H27" s="11" t="s">
        <v>3</v>
      </c>
      <c r="I27" s="9"/>
    </row>
    <row r="28" customFormat="false" ht="25.35" hidden="false" customHeight="false" outlineLevel="0" collapsed="false">
      <c r="A28" s="8" t="n">
        <f aca="false">COUNTIF($B$2:B28,B28)</f>
        <v>4</v>
      </c>
      <c r="B28" s="9" t="s">
        <v>148</v>
      </c>
      <c r="C28" s="10" t="s">
        <v>162</v>
      </c>
      <c r="D28" s="9" t="s">
        <v>163</v>
      </c>
      <c r="E28" s="9" t="s">
        <v>164</v>
      </c>
      <c r="F28" s="9" t="s">
        <v>37</v>
      </c>
      <c r="G28" s="9" t="s">
        <v>165</v>
      </c>
      <c r="H28" s="11" t="s">
        <v>3</v>
      </c>
      <c r="I28" s="9"/>
    </row>
    <row r="29" customFormat="false" ht="25.35" hidden="false" customHeight="false" outlineLevel="0" collapsed="false">
      <c r="A29" s="8" t="n">
        <f aca="false">COUNTIF($B$2:B29,B29)</f>
        <v>5</v>
      </c>
      <c r="B29" s="9" t="s">
        <v>148</v>
      </c>
      <c r="C29" s="10" t="s">
        <v>166</v>
      </c>
      <c r="D29" s="9" t="s">
        <v>167</v>
      </c>
      <c r="E29" s="9" t="s">
        <v>168</v>
      </c>
      <c r="F29" s="9" t="s">
        <v>37</v>
      </c>
      <c r="G29" s="9" t="s">
        <v>169</v>
      </c>
      <c r="H29" s="11" t="s">
        <v>3</v>
      </c>
      <c r="I29" s="9"/>
    </row>
    <row r="30" customFormat="false" ht="37.3" hidden="false" customHeight="false" outlineLevel="0" collapsed="false">
      <c r="A30" s="8" t="n">
        <f aca="false">COUNTIF($B$2:B30,B30)</f>
        <v>1</v>
      </c>
      <c r="B30" s="9" t="s">
        <v>170</v>
      </c>
      <c r="C30" s="10" t="s">
        <v>171</v>
      </c>
      <c r="D30" s="9" t="s">
        <v>172</v>
      </c>
      <c r="E30" s="9" t="s">
        <v>173</v>
      </c>
      <c r="F30" s="9" t="s">
        <v>124</v>
      </c>
      <c r="G30" s="9" t="s">
        <v>174</v>
      </c>
      <c r="H30" s="11" t="s">
        <v>3</v>
      </c>
      <c r="I30" s="9"/>
    </row>
    <row r="31" customFormat="false" ht="25.35" hidden="false" customHeight="false" outlineLevel="0" collapsed="false">
      <c r="A31" s="8" t="n">
        <f aca="false">COUNTIF($B$2:B31,B31)</f>
        <v>2</v>
      </c>
      <c r="B31" s="9" t="s">
        <v>170</v>
      </c>
      <c r="C31" s="10" t="s">
        <v>175</v>
      </c>
      <c r="D31" s="9" t="s">
        <v>176</v>
      </c>
      <c r="E31" s="9" t="s">
        <v>177</v>
      </c>
      <c r="F31" s="9" t="s">
        <v>124</v>
      </c>
      <c r="G31" s="9" t="s">
        <v>178</v>
      </c>
      <c r="H31" s="11" t="s">
        <v>3</v>
      </c>
      <c r="I31" s="9"/>
    </row>
    <row r="32" customFormat="false" ht="25.35" hidden="false" customHeight="false" outlineLevel="0" collapsed="false">
      <c r="A32" s="8" t="n">
        <f aca="false">COUNTIF($B$2:B32,B32)</f>
        <v>3</v>
      </c>
      <c r="B32" s="9" t="s">
        <v>170</v>
      </c>
      <c r="C32" s="10" t="s">
        <v>179</v>
      </c>
      <c r="D32" s="9" t="s">
        <v>180</v>
      </c>
      <c r="E32" s="9" t="s">
        <v>181</v>
      </c>
      <c r="F32" s="9" t="s">
        <v>124</v>
      </c>
      <c r="G32" s="9" t="s">
        <v>182</v>
      </c>
      <c r="H32" s="11" t="s">
        <v>3</v>
      </c>
      <c r="I32" s="9"/>
    </row>
    <row r="33" customFormat="false" ht="37.3" hidden="false" customHeight="false" outlineLevel="0" collapsed="false">
      <c r="A33" s="8" t="n">
        <f aca="false">COUNTIF($B$2:B33,B33)</f>
        <v>4</v>
      </c>
      <c r="B33" s="9" t="s">
        <v>170</v>
      </c>
      <c r="C33" s="10" t="s">
        <v>183</v>
      </c>
      <c r="D33" s="9" t="s">
        <v>184</v>
      </c>
      <c r="E33" s="9" t="s">
        <v>185</v>
      </c>
      <c r="F33" s="9" t="s">
        <v>186</v>
      </c>
      <c r="G33" s="9" t="s">
        <v>187</v>
      </c>
      <c r="H33" s="11" t="s">
        <v>3</v>
      </c>
      <c r="I33" s="9"/>
    </row>
    <row r="34" customFormat="false" ht="37.3" hidden="false" customHeight="false" outlineLevel="0" collapsed="false">
      <c r="A34" s="8" t="n">
        <f aca="false">COUNTIF($B$2:B34,B34)</f>
        <v>1</v>
      </c>
      <c r="B34" s="9" t="s">
        <v>188</v>
      </c>
      <c r="C34" s="10" t="s">
        <v>189</v>
      </c>
      <c r="D34" s="9" t="s">
        <v>190</v>
      </c>
      <c r="E34" s="9" t="s">
        <v>191</v>
      </c>
      <c r="F34" s="9" t="s">
        <v>124</v>
      </c>
      <c r="G34" s="9" t="s">
        <v>192</v>
      </c>
      <c r="H34" s="11" t="s">
        <v>3</v>
      </c>
      <c r="I34" s="9" t="s">
        <v>193</v>
      </c>
    </row>
    <row r="35" customFormat="false" ht="15" hidden="false" customHeight="false" outlineLevel="0" collapsed="false">
      <c r="A35" s="8" t="n">
        <f aca="false">COUNTIF($B$2:B35,B35)</f>
        <v>2</v>
      </c>
      <c r="B35" s="9" t="s">
        <v>188</v>
      </c>
      <c r="C35" s="10" t="s">
        <v>194</v>
      </c>
      <c r="D35" s="9" t="s">
        <v>91</v>
      </c>
      <c r="E35" s="9" t="s">
        <v>195</v>
      </c>
      <c r="F35" s="9" t="s">
        <v>124</v>
      </c>
      <c r="G35" s="9" t="s">
        <v>196</v>
      </c>
      <c r="H35" s="11" t="s">
        <v>3</v>
      </c>
      <c r="I35" s="9"/>
    </row>
    <row r="36" customFormat="false" ht="25.35" hidden="false" customHeight="false" outlineLevel="0" collapsed="false">
      <c r="A36" s="8" t="n">
        <f aca="false">COUNTIF($B$2:B36,B36)</f>
        <v>3</v>
      </c>
      <c r="B36" s="9" t="s">
        <v>188</v>
      </c>
      <c r="C36" s="10" t="s">
        <v>197</v>
      </c>
      <c r="D36" s="9" t="s">
        <v>198</v>
      </c>
      <c r="E36" s="9" t="s">
        <v>199</v>
      </c>
      <c r="F36" s="9" t="s">
        <v>124</v>
      </c>
      <c r="G36" s="9" t="s">
        <v>200</v>
      </c>
      <c r="H36" s="11" t="s">
        <v>3</v>
      </c>
      <c r="I36" s="9"/>
    </row>
    <row r="37" customFormat="false" ht="25.35" hidden="false" customHeight="false" outlineLevel="0" collapsed="false">
      <c r="A37" s="8" t="n">
        <f aca="false">COUNTIF($B$2:B37,B37)</f>
        <v>1</v>
      </c>
      <c r="B37" s="9" t="s">
        <v>201</v>
      </c>
      <c r="C37" s="10" t="s">
        <v>202</v>
      </c>
      <c r="D37" s="9" t="s">
        <v>203</v>
      </c>
      <c r="E37" s="9" t="s">
        <v>204</v>
      </c>
      <c r="F37" s="9" t="s">
        <v>205</v>
      </c>
      <c r="G37" s="9" t="s">
        <v>206</v>
      </c>
      <c r="H37" s="11" t="s">
        <v>3</v>
      </c>
      <c r="I37" s="9"/>
    </row>
    <row r="38" customFormat="false" ht="37.3" hidden="false" customHeight="false" outlineLevel="0" collapsed="false">
      <c r="A38" s="8" t="n">
        <f aca="false">COUNTIF($B$2:B38,B38)</f>
        <v>2</v>
      </c>
      <c r="B38" s="9" t="s">
        <v>201</v>
      </c>
      <c r="C38" s="10" t="s">
        <v>207</v>
      </c>
      <c r="D38" s="9" t="s">
        <v>208</v>
      </c>
      <c r="E38" s="9" t="s">
        <v>209</v>
      </c>
      <c r="F38" s="9" t="s">
        <v>210</v>
      </c>
      <c r="G38" s="9" t="s">
        <v>211</v>
      </c>
      <c r="H38" s="11" t="s">
        <v>3</v>
      </c>
      <c r="I38" s="9"/>
    </row>
    <row r="39" customFormat="false" ht="15" hidden="false" customHeight="false" outlineLevel="0" collapsed="false">
      <c r="A39" s="8" t="n">
        <f aca="false">COUNTIF($B$2:B39,B39)</f>
        <v>3</v>
      </c>
      <c r="B39" s="9" t="s">
        <v>201</v>
      </c>
      <c r="C39" s="10" t="s">
        <v>212</v>
      </c>
      <c r="D39" s="9" t="s">
        <v>213</v>
      </c>
      <c r="E39" s="9" t="s">
        <v>214</v>
      </c>
      <c r="F39" s="9" t="s">
        <v>210</v>
      </c>
      <c r="G39" s="9" t="s">
        <v>215</v>
      </c>
      <c r="H39" s="11" t="s">
        <v>3</v>
      </c>
      <c r="I39" s="9"/>
    </row>
    <row r="40" customFormat="false" ht="15" hidden="false" customHeight="false" outlineLevel="0" collapsed="false">
      <c r="A40" s="8" t="n">
        <f aca="false">COUNTIF($B$2:B40,B40)</f>
        <v>4</v>
      </c>
      <c r="B40" s="9" t="s">
        <v>201</v>
      </c>
      <c r="C40" s="10" t="s">
        <v>216</v>
      </c>
      <c r="D40" s="9" t="s">
        <v>217</v>
      </c>
      <c r="E40" s="9" t="s">
        <v>218</v>
      </c>
      <c r="F40" s="9" t="s">
        <v>210</v>
      </c>
      <c r="G40" s="9" t="s">
        <v>218</v>
      </c>
      <c r="H40" s="11" t="s">
        <v>3</v>
      </c>
      <c r="I40" s="9"/>
    </row>
    <row r="41" customFormat="false" ht="15" hidden="false" customHeight="false" outlineLevel="0" collapsed="false">
      <c r="A41" s="8" t="n">
        <f aca="false">COUNTIF($B$2:B41,B41)</f>
        <v>5</v>
      </c>
      <c r="B41" s="9" t="s">
        <v>201</v>
      </c>
      <c r="C41" s="10" t="s">
        <v>219</v>
      </c>
      <c r="D41" s="9" t="s">
        <v>220</v>
      </c>
      <c r="E41" s="9" t="s">
        <v>221</v>
      </c>
      <c r="F41" s="9" t="s">
        <v>210</v>
      </c>
      <c r="G41" s="9" t="s">
        <v>222</v>
      </c>
      <c r="H41" s="11" t="s">
        <v>3</v>
      </c>
      <c r="I41" s="9"/>
    </row>
    <row r="42" customFormat="false" ht="37.3" hidden="false" customHeight="false" outlineLevel="0" collapsed="false">
      <c r="A42" s="8" t="n">
        <f aca="false">COUNTIF($B$2:B42,B42)</f>
        <v>6</v>
      </c>
      <c r="B42" s="9" t="s">
        <v>201</v>
      </c>
      <c r="C42" s="10" t="s">
        <v>223</v>
      </c>
      <c r="D42" s="9" t="s">
        <v>224</v>
      </c>
      <c r="E42" s="9" t="s">
        <v>225</v>
      </c>
      <c r="F42" s="9" t="s">
        <v>210</v>
      </c>
      <c r="G42" s="9" t="s">
        <v>226</v>
      </c>
      <c r="H42" s="11" t="s">
        <v>3</v>
      </c>
      <c r="I42" s="9"/>
    </row>
    <row r="43" customFormat="false" ht="25.35" hidden="false" customHeight="false" outlineLevel="0" collapsed="false">
      <c r="A43" s="8" t="n">
        <f aca="false">COUNTIF($B$2:B43,B43)</f>
        <v>7</v>
      </c>
      <c r="B43" s="9" t="s">
        <v>201</v>
      </c>
      <c r="C43" s="10" t="s">
        <v>227</v>
      </c>
      <c r="D43" s="9" t="s">
        <v>228</v>
      </c>
      <c r="E43" s="9" t="s">
        <v>229</v>
      </c>
      <c r="F43" s="9" t="s">
        <v>210</v>
      </c>
      <c r="G43" s="9" t="s">
        <v>230</v>
      </c>
      <c r="H43" s="11" t="s">
        <v>3</v>
      </c>
      <c r="I43" s="9"/>
    </row>
    <row r="44" customFormat="false" ht="25.35" hidden="false" customHeight="false" outlineLevel="0" collapsed="false">
      <c r="A44" s="8" t="n">
        <f aca="false">COUNTIF($B$2:B44,B44)</f>
        <v>8</v>
      </c>
      <c r="B44" s="9" t="s">
        <v>201</v>
      </c>
      <c r="C44" s="10" t="s">
        <v>231</v>
      </c>
      <c r="D44" s="9" t="s">
        <v>232</v>
      </c>
      <c r="E44" s="9" t="s">
        <v>233</v>
      </c>
      <c r="F44" s="9" t="s">
        <v>234</v>
      </c>
      <c r="G44" s="9" t="s">
        <v>235</v>
      </c>
      <c r="H44" s="11" t="s">
        <v>3</v>
      </c>
      <c r="I44" s="9"/>
    </row>
    <row r="45" customFormat="false" ht="15" hidden="false" customHeight="false" outlineLevel="0" collapsed="false">
      <c r="A45" s="8" t="n">
        <f aca="false">COUNTIF($B$2:B45,B45)</f>
        <v>1</v>
      </c>
      <c r="B45" s="9" t="s">
        <v>236</v>
      </c>
      <c r="C45" s="10" t="s">
        <v>237</v>
      </c>
      <c r="D45" s="9" t="s">
        <v>238</v>
      </c>
      <c r="E45" s="9" t="s">
        <v>239</v>
      </c>
      <c r="F45" s="9" t="s">
        <v>37</v>
      </c>
      <c r="G45" s="9" t="s">
        <v>240</v>
      </c>
      <c r="H45" s="11" t="s">
        <v>3</v>
      </c>
      <c r="I45" s="9" t="s">
        <v>241</v>
      </c>
    </row>
    <row r="46" customFormat="false" ht="49.25" hidden="false" customHeight="false" outlineLevel="0" collapsed="false">
      <c r="A46" s="8" t="n">
        <f aca="false">COUNTIF($B$2:B46,B46)</f>
        <v>2</v>
      </c>
      <c r="B46" s="9" t="s">
        <v>236</v>
      </c>
      <c r="C46" s="10" t="s">
        <v>242</v>
      </c>
      <c r="D46" s="9" t="s">
        <v>243</v>
      </c>
      <c r="E46" s="9" t="s">
        <v>244</v>
      </c>
      <c r="F46" s="9" t="s">
        <v>61</v>
      </c>
      <c r="G46" s="9" t="s">
        <v>245</v>
      </c>
      <c r="H46" s="11" t="s">
        <v>3</v>
      </c>
      <c r="I46" s="9" t="s">
        <v>246</v>
      </c>
    </row>
    <row r="47" customFormat="false" ht="37.3" hidden="false" customHeight="false" outlineLevel="0" collapsed="false">
      <c r="A47" s="8" t="n">
        <f aca="false">COUNTIF($B$2:B47,B47)</f>
        <v>3</v>
      </c>
      <c r="B47" s="9" t="s">
        <v>236</v>
      </c>
      <c r="C47" s="10" t="s">
        <v>247</v>
      </c>
      <c r="D47" s="9" t="s">
        <v>248</v>
      </c>
      <c r="E47" s="9" t="s">
        <v>249</v>
      </c>
      <c r="F47" s="9" t="s">
        <v>250</v>
      </c>
      <c r="G47" s="9" t="s">
        <v>251</v>
      </c>
      <c r="H47" s="11" t="s">
        <v>3</v>
      </c>
      <c r="I47" s="9"/>
    </row>
    <row r="48" customFormat="false" ht="25.35" hidden="false" customHeight="false" outlineLevel="0" collapsed="false">
      <c r="A48" s="8" t="n">
        <f aca="false">COUNTIF($B$2:B48,B48)</f>
        <v>4</v>
      </c>
      <c r="B48" s="9" t="s">
        <v>236</v>
      </c>
      <c r="C48" s="10" t="s">
        <v>252</v>
      </c>
      <c r="D48" s="9" t="s">
        <v>253</v>
      </c>
      <c r="E48" s="9" t="s">
        <v>254</v>
      </c>
      <c r="F48" s="9" t="s">
        <v>255</v>
      </c>
      <c r="G48" s="9" t="s">
        <v>256</v>
      </c>
      <c r="H48" s="11" t="s">
        <v>3</v>
      </c>
      <c r="I48" s="9"/>
    </row>
    <row r="49" customFormat="false" ht="37.3" hidden="false" customHeight="false" outlineLevel="0" collapsed="false">
      <c r="A49" s="8" t="n">
        <f aca="false">COUNTIF($B$2:B49,B49)</f>
        <v>5</v>
      </c>
      <c r="B49" s="9" t="s">
        <v>236</v>
      </c>
      <c r="C49" s="10" t="s">
        <v>257</v>
      </c>
      <c r="D49" s="9" t="s">
        <v>258</v>
      </c>
      <c r="E49" s="9" t="s">
        <v>259</v>
      </c>
      <c r="F49" s="9" t="s">
        <v>260</v>
      </c>
      <c r="G49" s="9" t="s">
        <v>261</v>
      </c>
      <c r="H49" s="11" t="s">
        <v>3</v>
      </c>
      <c r="I49" s="9"/>
    </row>
    <row r="50" customFormat="false" ht="61.15" hidden="false" customHeight="false" outlineLevel="0" collapsed="false">
      <c r="A50" s="8" t="n">
        <f aca="false">COUNTIF($B$2:B50,B50)</f>
        <v>6</v>
      </c>
      <c r="B50" s="9" t="s">
        <v>236</v>
      </c>
      <c r="C50" s="10" t="s">
        <v>262</v>
      </c>
      <c r="D50" s="9" t="s">
        <v>263</v>
      </c>
      <c r="E50" s="9" t="s">
        <v>264</v>
      </c>
      <c r="F50" s="9" t="s">
        <v>265</v>
      </c>
      <c r="G50" s="9" t="s">
        <v>266</v>
      </c>
      <c r="H50" s="11" t="s">
        <v>3</v>
      </c>
      <c r="I50" s="9" t="s">
        <v>267</v>
      </c>
    </row>
    <row r="51" customFormat="false" ht="73.1" hidden="false" customHeight="false" outlineLevel="0" collapsed="false">
      <c r="A51" s="8" t="n">
        <f aca="false">COUNTIF($B$2:B51,B51)</f>
        <v>7</v>
      </c>
      <c r="B51" s="9" t="s">
        <v>236</v>
      </c>
      <c r="C51" s="10" t="s">
        <v>268</v>
      </c>
      <c r="D51" s="9" t="s">
        <v>269</v>
      </c>
      <c r="E51" s="9" t="s">
        <v>270</v>
      </c>
      <c r="F51" s="9" t="s">
        <v>265</v>
      </c>
      <c r="G51" s="9" t="s">
        <v>271</v>
      </c>
      <c r="H51" s="11" t="s">
        <v>3</v>
      </c>
      <c r="I51" s="9" t="s">
        <v>272</v>
      </c>
    </row>
    <row r="52" customFormat="false" ht="49.25" hidden="false" customHeight="false" outlineLevel="0" collapsed="false">
      <c r="A52" s="8" t="n">
        <f aca="false">COUNTIF($B$2:B52,B52)</f>
        <v>1</v>
      </c>
      <c r="B52" s="9" t="s">
        <v>273</v>
      </c>
      <c r="C52" s="10" t="s">
        <v>274</v>
      </c>
      <c r="D52" s="9" t="s">
        <v>275</v>
      </c>
      <c r="E52" s="9" t="s">
        <v>276</v>
      </c>
      <c r="F52" s="9" t="s">
        <v>277</v>
      </c>
      <c r="G52" s="9" t="s">
        <v>278</v>
      </c>
      <c r="H52" s="11" t="s">
        <v>3</v>
      </c>
      <c r="I52" s="9" t="s">
        <v>279</v>
      </c>
    </row>
    <row r="53" customFormat="false" ht="25.35" hidden="false" customHeight="false" outlineLevel="0" collapsed="false">
      <c r="A53" s="8" t="n">
        <f aca="false">COUNTIF($B$2:B53,B53)</f>
        <v>2</v>
      </c>
      <c r="B53" s="9" t="s">
        <v>273</v>
      </c>
      <c r="C53" s="10" t="s">
        <v>280</v>
      </c>
      <c r="D53" s="9" t="s">
        <v>281</v>
      </c>
      <c r="E53" s="9" t="s">
        <v>282</v>
      </c>
      <c r="F53" s="9" t="s">
        <v>277</v>
      </c>
      <c r="G53" s="9" t="s">
        <v>283</v>
      </c>
      <c r="H53" s="11" t="s">
        <v>3</v>
      </c>
      <c r="I53" s="9"/>
    </row>
    <row r="54" customFormat="false" ht="37.3" hidden="false" customHeight="false" outlineLevel="0" collapsed="false">
      <c r="A54" s="8" t="n">
        <f aca="false">COUNTIF($B$2:B54,B54)</f>
        <v>3</v>
      </c>
      <c r="B54" s="9" t="s">
        <v>273</v>
      </c>
      <c r="C54" s="10" t="s">
        <v>284</v>
      </c>
      <c r="D54" s="9" t="s">
        <v>285</v>
      </c>
      <c r="E54" s="9" t="s">
        <v>286</v>
      </c>
      <c r="F54" s="9" t="s">
        <v>277</v>
      </c>
      <c r="G54" s="9" t="s">
        <v>287</v>
      </c>
      <c r="H54" s="11" t="s">
        <v>3</v>
      </c>
      <c r="I54" s="9"/>
    </row>
    <row r="55" customFormat="false" ht="61.15" hidden="false" customHeight="false" outlineLevel="0" collapsed="false">
      <c r="A55" s="8" t="n">
        <f aca="false">COUNTIF($B$2:B55,B55)</f>
        <v>1</v>
      </c>
      <c r="B55" s="9" t="s">
        <v>288</v>
      </c>
      <c r="C55" s="10" t="s">
        <v>289</v>
      </c>
      <c r="D55" s="9" t="s">
        <v>290</v>
      </c>
      <c r="E55" s="9" t="s">
        <v>291</v>
      </c>
      <c r="F55" s="9" t="s">
        <v>277</v>
      </c>
      <c r="G55" s="9" t="s">
        <v>292</v>
      </c>
      <c r="H55" s="11" t="s">
        <v>3</v>
      </c>
      <c r="I55" s="9"/>
    </row>
    <row r="56" customFormat="false" ht="25.35" hidden="false" customHeight="false" outlineLevel="0" collapsed="false">
      <c r="A56" s="8" t="n">
        <f aca="false">COUNTIF($B$2:B56,B56)</f>
        <v>2</v>
      </c>
      <c r="B56" s="9" t="s">
        <v>288</v>
      </c>
      <c r="C56" s="10" t="s">
        <v>293</v>
      </c>
      <c r="D56" s="9" t="s">
        <v>294</v>
      </c>
      <c r="E56" s="9" t="s">
        <v>295</v>
      </c>
      <c r="F56" s="9" t="s">
        <v>110</v>
      </c>
      <c r="G56" s="9" t="s">
        <v>296</v>
      </c>
      <c r="H56" s="11" t="s">
        <v>3</v>
      </c>
      <c r="I56" s="9"/>
    </row>
  </sheetData>
  <autoFilter ref="A1:I62"/>
  <conditionalFormatting sqref="A2:I62">
    <cfRule type="expression" priority="2" aboveAverage="0" equalAverage="0" bottom="0" percent="0" rank="0" text="" dxfId="5">
      <formula>$H2="✅ نجح"</formula>
    </cfRule>
    <cfRule type="expression" priority="3" aboveAverage="0" equalAverage="0" bottom="0" percent="0" rank="0" text="" dxfId="6">
      <formula>$H2="❌ فشل"</formula>
    </cfRule>
    <cfRule type="expression" priority="4" aboveAverage="0" equalAverage="0" bottom="0" percent="0" rank="0" text="" dxfId="7">
      <formula>$H2="⚠️ ملاحظة"</formula>
    </cfRule>
  </conditionalFormatting>
  <dataValidations count="1">
    <dataValidation allowBlank="false" errorStyle="stop" operator="between" showDropDown="false" showErrorMessage="false" showInputMessage="false" sqref="H2:H56" type="list">
      <formula1>"☐ لم يُختبر,✅ نجح,❌ فشل,⚠️ ملاحظة"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2026-10-22T15:26:55Z</dcterms:created>
  <dc:creator>openpyxl</dc:creator>
  <dc:description/>
  <dc:language>en-US</dc:language>
  <cp:lastModifiedBy/>
  <dcterms:modified xsi:type="dcterms:W3CDTF">2026-10-27T15:45:56Z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